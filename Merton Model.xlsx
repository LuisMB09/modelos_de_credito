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15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luism/Desktop/8-ITESO/Módelos de Crédito/"/>
    </mc:Choice>
  </mc:AlternateContent>
  <xr:revisionPtr revIDLastSave="0" documentId="13_ncr:1_{1AE7ECD4-BCAB-E44B-B392-61B1A41CE33A}" xr6:coauthVersionLast="47" xr6:coauthVersionMax="47" xr10:uidLastSave="{00000000-0000-0000-0000-000000000000}"/>
  <bookViews>
    <workbookView xWindow="0" yWindow="660" windowWidth="29400" windowHeight="18460" xr2:uid="{32392DCD-070E-EC43-B159-7EFFE87224E1}"/>
  </bookViews>
  <sheets>
    <sheet name="Hoj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8" i="1" l="1"/>
  <c r="C30" i="1" s="1"/>
  <c r="C18" i="1"/>
  <c r="C20" i="1" s="1"/>
  <c r="C9" i="1"/>
  <c r="D7" i="1"/>
  <c r="C10" i="1" s="1"/>
</calcChain>
</file>

<file path=xl/sharedStrings.xml><?xml version="1.0" encoding="utf-8"?>
<sst xmlns="http://schemas.openxmlformats.org/spreadsheetml/2006/main" count="24" uniqueCount="11">
  <si>
    <t>Assets</t>
  </si>
  <si>
    <t>Debt</t>
  </si>
  <si>
    <t>r</t>
  </si>
  <si>
    <t>sigma_a</t>
  </si>
  <si>
    <t>T</t>
  </si>
  <si>
    <t>DD</t>
  </si>
  <si>
    <t>PD aprox</t>
  </si>
  <si>
    <t>PD exac</t>
  </si>
  <si>
    <t>PD 50/50</t>
  </si>
  <si>
    <t xml:space="preserve">Esto se hace con buscar </t>
  </si>
  <si>
    <t>objetivo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</si>
</sst>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9">
    <xf numFmtId="0" fontId="0" fillId="0" borderId="0" xfId="0"/>
    <xf numFmtId="2" fontId="0" fillId="0" borderId="0" xfId="0" applyNumberFormat="1"/>
    <xf numFmtId="0" fontId="0" fillId="0" borderId="1" xfId="0" applyBorder="1"/>
    <xf numFmtId="9" fontId="0" fillId="0" borderId="1" xfId="0" applyNumberFormat="1" applyBorder="1"/>
    <xf numFmtId="10" fontId="0" fillId="0" borderId="1" xfId="1" applyNumberFormat="1" applyFont="1" applyBorder="1"/>
    <xf numFmtId="2" fontId="0" fillId="0" borderId="1" xfId="0" applyNumberFormat="1" applyBorder="1"/>
    <xf numFmtId="3" fontId="0" fillId="0" borderId="1" xfId="0" applyNumberFormat="1" applyBorder="1"/>
    <xf numFmtId="4" fontId="0" fillId="0" borderId="1" xfId="0" applyNumberFormat="1" applyBorder="1"/>
    <xf numFmtId="10" fontId="0" fillId="0" borderId="1" xfId="0" applyNumberFormat="1" applyBorder="1"/>
  </cellXfs>
  <cellStyles count="2">
    <cellStyle name="Normal" xfId="0" builtinId="0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78153</xdr:colOff>
      <xdr:row>0</xdr:row>
      <xdr:rowOff>0</xdr:rowOff>
    </xdr:from>
    <xdr:to>
      <xdr:col>10</xdr:col>
      <xdr:colOff>576384</xdr:colOff>
      <xdr:row>13</xdr:row>
      <xdr:rowOff>179533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78485DF6-0B59-AFA7-E992-708EE8C4AE0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060461" y="0"/>
          <a:ext cx="3819769" cy="2846533"/>
        </a:xfrm>
        <a:prstGeom prst="rect">
          <a:avLst/>
        </a:prstGeom>
      </xdr:spPr>
    </xdr:pic>
    <xdr:clientData/>
  </xdr:twoCellAnchor>
  <xdr:twoCellAnchor editAs="oneCell">
    <xdr:from>
      <xdr:col>6</xdr:col>
      <xdr:colOff>87922</xdr:colOff>
      <xdr:row>14</xdr:row>
      <xdr:rowOff>146537</xdr:rowOff>
    </xdr:from>
    <xdr:to>
      <xdr:col>10</xdr:col>
      <xdr:colOff>766427</xdr:colOff>
      <xdr:row>27</xdr:row>
      <xdr:rowOff>85968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4C0841E5-156C-F4F1-D684-63288BB7E10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5070230" y="3018691"/>
          <a:ext cx="4000043" cy="2606431"/>
        </a:xfrm>
        <a:prstGeom prst="rect">
          <a:avLst/>
        </a:prstGeom>
      </xdr:spPr>
    </xdr:pic>
    <xdr:clientData/>
  </xdr:twoCellAnchor>
  <xdr:twoCellAnchor editAs="oneCell">
    <xdr:from>
      <xdr:col>11</xdr:col>
      <xdr:colOff>22319</xdr:colOff>
      <xdr:row>14</xdr:row>
      <xdr:rowOff>48845</xdr:rowOff>
    </xdr:from>
    <xdr:to>
      <xdr:col>16</xdr:col>
      <xdr:colOff>355599</xdr:colOff>
      <xdr:row>20</xdr:row>
      <xdr:rowOff>100622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198AAD09-8F84-4A3D-0A3E-7B108D29FA6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9156550" y="2920999"/>
          <a:ext cx="4485203" cy="12827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F9AD68-771B-E54E-A271-CA68EFE55B23}">
  <dimension ref="B2:E30"/>
  <sheetViews>
    <sheetView showGridLines="0" tabSelected="1" zoomScale="130" zoomScaleNormal="130" workbookViewId="0">
      <selection activeCell="E7" sqref="E2:E7"/>
    </sheetView>
  </sheetViews>
  <sheetFormatPr baseColWidth="10" defaultRowHeight="16" x14ac:dyDescent="0.2"/>
  <cols>
    <col min="3" max="3" width="12.1640625" customWidth="1"/>
  </cols>
  <sheetData>
    <row r="2" spans="2:4" x14ac:dyDescent="0.2">
      <c r="B2" s="2" t="s">
        <v>0</v>
      </c>
      <c r="C2" s="6">
        <v>100</v>
      </c>
    </row>
    <row r="3" spans="2:4" x14ac:dyDescent="0.2">
      <c r="B3" s="2" t="s">
        <v>1</v>
      </c>
      <c r="C3" s="7">
        <v>60</v>
      </c>
    </row>
    <row r="4" spans="2:4" x14ac:dyDescent="0.2">
      <c r="B4" s="2" t="s">
        <v>2</v>
      </c>
      <c r="C4" s="8">
        <v>0.03</v>
      </c>
    </row>
    <row r="5" spans="2:4" x14ac:dyDescent="0.2">
      <c r="B5" s="2" t="s">
        <v>3</v>
      </c>
      <c r="C5" s="8">
        <v>0.2</v>
      </c>
    </row>
    <row r="6" spans="2:4" x14ac:dyDescent="0.2">
      <c r="B6" s="2" t="s">
        <v>4</v>
      </c>
      <c r="C6" s="2">
        <v>2</v>
      </c>
    </row>
    <row r="7" spans="2:4" x14ac:dyDescent="0.2">
      <c r="B7" s="2" t="s">
        <v>5</v>
      </c>
      <c r="C7" s="2">
        <v>2.15</v>
      </c>
      <c r="D7" s="1">
        <f>(LN(C2/C3)+(C4+C5^2/2)*C6)/(C5*SQRT(C6))</f>
        <v>2.1595947034371736</v>
      </c>
    </row>
    <row r="9" spans="2:4" x14ac:dyDescent="0.2">
      <c r="B9" s="2" t="s">
        <v>6</v>
      </c>
      <c r="C9" s="4">
        <f>1-_xlfn.NORM.S.DIST(C7,1)</f>
        <v>1.5777607391090465E-2</v>
      </c>
    </row>
    <row r="10" spans="2:4" x14ac:dyDescent="0.2">
      <c r="B10" s="2" t="s">
        <v>7</v>
      </c>
      <c r="C10" s="4">
        <f>1-_xlfn.NORM.S.DIST(D7,1)</f>
        <v>1.5402029408103313E-2</v>
      </c>
    </row>
    <row r="13" spans="2:4" x14ac:dyDescent="0.2">
      <c r="B13" s="2" t="s">
        <v>0</v>
      </c>
      <c r="C13" s="2">
        <v>100</v>
      </c>
    </row>
    <row r="14" spans="2:4" x14ac:dyDescent="0.2">
      <c r="B14" s="2" t="s">
        <v>1</v>
      </c>
      <c r="C14" s="2">
        <v>150</v>
      </c>
    </row>
    <row r="15" spans="2:4" x14ac:dyDescent="0.2">
      <c r="B15" s="2" t="s">
        <v>2</v>
      </c>
      <c r="C15" s="3">
        <v>0.03</v>
      </c>
    </row>
    <row r="16" spans="2:4" x14ac:dyDescent="0.2">
      <c r="B16" s="2" t="s">
        <v>3</v>
      </c>
      <c r="C16" s="3">
        <v>0.2</v>
      </c>
    </row>
    <row r="17" spans="2:5" x14ac:dyDescent="0.2">
      <c r="B17" s="2" t="s">
        <v>4</v>
      </c>
      <c r="C17" s="2">
        <v>2</v>
      </c>
    </row>
    <row r="18" spans="2:5" x14ac:dyDescent="0.2">
      <c r="B18" s="2" t="s">
        <v>5</v>
      </c>
      <c r="C18" s="5">
        <f>(LN(C13/C14)+(C15+C16^2/2)*C17)/(C16*SQRT(C17))</f>
        <v>-1.0799822467958242</v>
      </c>
    </row>
    <row r="20" spans="2:5" x14ac:dyDescent="0.2">
      <c r="B20" s="2" t="s">
        <v>7</v>
      </c>
      <c r="C20" s="4">
        <f>1-_xlfn.NORM.S.DIST(C18,1)</f>
        <v>0.85992495706031258</v>
      </c>
    </row>
    <row r="23" spans="2:5" x14ac:dyDescent="0.2">
      <c r="B23" s="2" t="s">
        <v>0</v>
      </c>
      <c r="C23" s="2">
        <v>100</v>
      </c>
      <c r="E23" t="s">
        <v>9</v>
      </c>
    </row>
    <row r="24" spans="2:5" x14ac:dyDescent="0.2">
      <c r="B24" s="2" t="s">
        <v>1</v>
      </c>
      <c r="C24" s="2">
        <v>110.54380047291831</v>
      </c>
      <c r="E24" t="s">
        <v>10</v>
      </c>
    </row>
    <row r="25" spans="2:5" x14ac:dyDescent="0.2">
      <c r="B25" s="2" t="s">
        <v>2</v>
      </c>
      <c r="C25" s="3">
        <v>0.03</v>
      </c>
    </row>
    <row r="26" spans="2:5" x14ac:dyDescent="0.2">
      <c r="B26" s="2" t="s">
        <v>3</v>
      </c>
      <c r="C26" s="3">
        <v>0.2</v>
      </c>
    </row>
    <row r="27" spans="2:5" x14ac:dyDescent="0.2">
      <c r="B27" s="2" t="s">
        <v>4</v>
      </c>
      <c r="C27" s="2">
        <v>2</v>
      </c>
    </row>
    <row r="28" spans="2:5" x14ac:dyDescent="0.2">
      <c r="B28" s="2" t="s">
        <v>5</v>
      </c>
      <c r="C28" s="5">
        <f>(LN(C23/C24)+(C25+C26^2/2)*C27)/(C26*SQRT(C27))</f>
        <v>-8.5432924317811472E-4</v>
      </c>
    </row>
    <row r="30" spans="2:5" x14ac:dyDescent="0.2">
      <c r="B30" s="2" t="s">
        <v>8</v>
      </c>
      <c r="C30" s="4">
        <f>1-_xlfn.NORM.S.DIST(C28,1)</f>
        <v>0.50034082801502655</v>
      </c>
    </row>
  </sheetData>
  <pageMargins left="0.7" right="0.7" top="0.75" bottom="0.75" header="0.3" footer="0.3"/>
  <pageSetup orientation="portrait" horizontalDpi="0" verticalDpi="0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MARQUEZ BAÑUELOS, LUIS FERNANDO</dc:creator>
  <cp:lastModifiedBy>MARQUEZ BAÑUELOS, LUIS FERNANDO</cp:lastModifiedBy>
  <dcterms:created xsi:type="dcterms:W3CDTF">2026-02-19T03:16:54Z</dcterms:created>
  <dcterms:modified xsi:type="dcterms:W3CDTF">2026-02-19T20:46:23Z</dcterms:modified>
</cp:coreProperties>
</file>