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m/Desktop/8-ITESO/Módelos de Crédito/"/>
    </mc:Choice>
  </mc:AlternateContent>
  <xr:revisionPtr revIDLastSave="0" documentId="13_ncr:1_{8E9207E6-2551-CB4B-9160-30B7F1A078F0}" xr6:coauthVersionLast="47" xr6:coauthVersionMax="47" xr10:uidLastSave="{00000000-0000-0000-0000-000000000000}"/>
  <bookViews>
    <workbookView xWindow="0" yWindow="660" windowWidth="29400" windowHeight="18460" xr2:uid="{32392DCD-070E-EC43-B159-7EFFE87224E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8" i="2"/>
  <c r="H17" i="2"/>
  <c r="H16" i="2"/>
  <c r="H15" i="2"/>
  <c r="H14" i="2"/>
  <c r="K6" i="2"/>
  <c r="K5" i="2"/>
  <c r="K2" i="2"/>
  <c r="K3" i="2"/>
  <c r="C28" i="1"/>
  <c r="C30" i="1" s="1"/>
  <c r="C18" i="1"/>
  <c r="C20" i="1" s="1"/>
  <c r="C9" i="1"/>
  <c r="D7" i="1"/>
  <c r="C10" i="1" s="1"/>
</calcChain>
</file>

<file path=xl/sharedStrings.xml><?xml version="1.0" encoding="utf-8"?>
<sst xmlns="http://schemas.openxmlformats.org/spreadsheetml/2006/main" count="47" uniqueCount="34">
  <si>
    <t>Assets</t>
  </si>
  <si>
    <t>Debt</t>
  </si>
  <si>
    <t>r</t>
  </si>
  <si>
    <t>sigma_a</t>
  </si>
  <si>
    <t>T</t>
  </si>
  <si>
    <t>DD</t>
  </si>
  <si>
    <t>PD aprox</t>
  </si>
  <si>
    <t>PD exac</t>
  </si>
  <si>
    <t>PD 50/50</t>
  </si>
  <si>
    <t xml:space="preserve">Esto se hace con buscar </t>
  </si>
  <si>
    <t>objetivo</t>
  </si>
  <si>
    <t>Working Capital</t>
  </si>
  <si>
    <t>Current Assets</t>
  </si>
  <si>
    <t>Non-Current Assets</t>
  </si>
  <si>
    <t>Revenue</t>
  </si>
  <si>
    <t>Retained earnings</t>
  </si>
  <si>
    <t>Cost of Goods</t>
  </si>
  <si>
    <t>Operating Expenses</t>
  </si>
  <si>
    <t>Share price</t>
  </si>
  <si>
    <t>Total Diluted Shares</t>
  </si>
  <si>
    <t>Current liabilities</t>
  </si>
  <si>
    <t>Non-Current Liabilities</t>
  </si>
  <si>
    <t>x1</t>
  </si>
  <si>
    <t>x2</t>
  </si>
  <si>
    <t>x3</t>
  </si>
  <si>
    <t>x4</t>
  </si>
  <si>
    <t>x5</t>
  </si>
  <si>
    <t>Total Assets</t>
  </si>
  <si>
    <t>EBIT</t>
  </si>
  <si>
    <t>MVE</t>
  </si>
  <si>
    <t>Total Liabilities</t>
  </si>
  <si>
    <t>Variables</t>
  </si>
  <si>
    <t>Pesos</t>
  </si>
  <si>
    <t>Altman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</si>
</sst>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0" fillId="0" borderId="1" xfId="0" applyBorder="1"/>
    <xf numFmtId="9" fontId="0" fillId="0" borderId="1" xfId="0" applyNumberFormat="1" applyBorder="1"/>
    <xf numFmtId="10" fontId="0" fillId="0" borderId="1" xfId="1" applyNumberFormat="1" applyFont="1" applyBorder="1"/>
    <xf numFmtId="2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10" fontId="0" fillId="0" borderId="1" xfId="0" applyNumberFormat="1" applyBorder="1"/>
    <xf numFmtId="6" fontId="0" fillId="0" borderId="0" xfId="0" applyNumberFormat="1"/>
    <xf numFmtId="44" fontId="0" fillId="0" borderId="0" xfId="3" applyFont="1"/>
    <xf numFmtId="44" fontId="0" fillId="0" borderId="0" xfId="0" applyNumberFormat="1"/>
    <xf numFmtId="43" fontId="0" fillId="0" borderId="0" xfId="2" applyFont="1"/>
  </cellXfs>
  <cellStyles count="4">
    <cellStyle name="Millares" xfId="2" builtinId="3"/>
    <cellStyle name="Moneda" xfId="3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78153</xdr:colOff>
      <xdr:row>0</xdr:row>
      <xdr:rowOff>0</xdr:rowOff>
    </xdr:from>
    <xdr:to>
      <xdr:col>10</xdr:col>
      <xdr:colOff>576384</xdr:colOff>
      <xdr:row>13</xdr:row>
      <xdr:rowOff>179533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485DF6-0B59-AFA7-E992-708EE8C4A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0461" y="0"/>
          <a:ext cx="3819769" cy="2846533"/>
        </a:xfrm>
        <a:prstGeom prst="rect">
          <a:avLst/>
        </a:prstGeom>
      </xdr:spPr>
    </xdr:pic>
    <xdr:clientData/>
  </xdr:twoCellAnchor>
  <xdr:twoCellAnchor editAs="oneCell">
    <xdr:from>
      <xdr:col>6</xdr:col>
      <xdr:colOff>87922</xdr:colOff>
      <xdr:row>14</xdr:row>
      <xdr:rowOff>146537</xdr:rowOff>
    </xdr:from>
    <xdr:to>
      <xdr:col>10</xdr:col>
      <xdr:colOff>766427</xdr:colOff>
      <xdr:row>27</xdr:row>
      <xdr:rowOff>85968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0841E5-156C-F4F1-D684-63288BB7E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0230" y="3018691"/>
          <a:ext cx="4000043" cy="2606431"/>
        </a:xfrm>
        <a:prstGeom prst="rect">
          <a:avLst/>
        </a:prstGeom>
      </xdr:spPr>
    </xdr:pic>
    <xdr:clientData/>
  </xdr:twoCellAnchor>
  <xdr:twoCellAnchor editAs="oneCell">
    <xdr:from>
      <xdr:col>11</xdr:col>
      <xdr:colOff>22319</xdr:colOff>
      <xdr:row>14</xdr:row>
      <xdr:rowOff>48845</xdr:rowOff>
    </xdr:from>
    <xdr:to>
      <xdr:col>16</xdr:col>
      <xdr:colOff>355599</xdr:colOff>
      <xdr:row>20</xdr:row>
      <xdr:rowOff>100622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8AAD09-8F84-4A3D-0A3E-7B108D29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6550" y="2920999"/>
          <a:ext cx="4485203" cy="1282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5</xdr:col>
      <xdr:colOff>283308</xdr:colOff>
      <xdr:row>15</xdr:row>
      <xdr:rowOff>165955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042090-2A4D-3C9D-C3E4-6AFFB3F1D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435231" cy="3243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AD68-771B-E54E-A271-CA68EFE55B23}">
  <dimension ref="B2:E30"/>
  <sheetViews>
    <sheetView showGridLines="0" tabSelected="1" zoomScale="130" zoomScaleNormal="130" workbookViewId="0">
      <selection activeCell="E28" sqref="E28"/>
    </sheetView>
  </sheetViews>
  <sheetFormatPr baseColWidth="10" defaultRowHeight="16" x14ac:dyDescent="0.2"/>
  <cols>
    <col min="3" max="3" width="12.1640625" customWidth="1"/>
  </cols>
  <sheetData>
    <row r="2" spans="2:4" x14ac:dyDescent="0.2">
      <c r="B2" s="2" t="s">
        <v>0</v>
      </c>
      <c r="C2" s="6">
        <v>100</v>
      </c>
    </row>
    <row r="3" spans="2:4" x14ac:dyDescent="0.2">
      <c r="B3" s="2" t="s">
        <v>1</v>
      </c>
      <c r="C3" s="7">
        <v>60</v>
      </c>
    </row>
    <row r="4" spans="2:4" x14ac:dyDescent="0.2">
      <c r="B4" s="2" t="s">
        <v>2</v>
      </c>
      <c r="C4" s="8">
        <v>0.03</v>
      </c>
    </row>
    <row r="5" spans="2:4" x14ac:dyDescent="0.2">
      <c r="B5" s="2" t="s">
        <v>3</v>
      </c>
      <c r="C5" s="8">
        <v>0.2</v>
      </c>
    </row>
    <row r="6" spans="2:4" x14ac:dyDescent="0.2">
      <c r="B6" s="2" t="s">
        <v>4</v>
      </c>
      <c r="C6" s="2">
        <v>2</v>
      </c>
    </row>
    <row r="7" spans="2:4" x14ac:dyDescent="0.2">
      <c r="B7" s="2" t="s">
        <v>5</v>
      </c>
      <c r="C7" s="2">
        <v>2.15</v>
      </c>
      <c r="D7" s="1">
        <f>(LN(C2/C3)+(C4+C5^2/2)*C6)/(C5*SQRT(C6))</f>
        <v>2.1595947034371736</v>
      </c>
    </row>
    <row r="9" spans="2:4" x14ac:dyDescent="0.2">
      <c r="B9" s="2" t="s">
        <v>6</v>
      </c>
      <c r="C9" s="4">
        <f>1-_xlfn.NORM.S.DIST(C7,1)</f>
        <v>1.5777607391090465E-2</v>
      </c>
    </row>
    <row r="10" spans="2:4" x14ac:dyDescent="0.2">
      <c r="B10" s="2" t="s">
        <v>7</v>
      </c>
      <c r="C10" s="4">
        <f>1-_xlfn.NORM.S.DIST(D7,1)</f>
        <v>1.5402029408103313E-2</v>
      </c>
    </row>
    <row r="13" spans="2:4" x14ac:dyDescent="0.2">
      <c r="B13" s="2" t="s">
        <v>0</v>
      </c>
      <c r="C13" s="2">
        <v>100</v>
      </c>
    </row>
    <row r="14" spans="2:4" x14ac:dyDescent="0.2">
      <c r="B14" s="2" t="s">
        <v>1</v>
      </c>
      <c r="C14" s="2">
        <v>150</v>
      </c>
    </row>
    <row r="15" spans="2:4" x14ac:dyDescent="0.2">
      <c r="B15" s="2" t="s">
        <v>2</v>
      </c>
      <c r="C15" s="3">
        <v>0.03</v>
      </c>
    </row>
    <row r="16" spans="2:4" x14ac:dyDescent="0.2">
      <c r="B16" s="2" t="s">
        <v>3</v>
      </c>
      <c r="C16" s="3">
        <v>0.2</v>
      </c>
    </row>
    <row r="17" spans="2:5" x14ac:dyDescent="0.2">
      <c r="B17" s="2" t="s">
        <v>4</v>
      </c>
      <c r="C17" s="2">
        <v>2</v>
      </c>
    </row>
    <row r="18" spans="2:5" x14ac:dyDescent="0.2">
      <c r="B18" s="2" t="s">
        <v>5</v>
      </c>
      <c r="C18" s="5">
        <f>(LN(C13/C14)+(C15+C16^2/2)*C17)/(C16*SQRT(C17))</f>
        <v>-1.0799822467958242</v>
      </c>
    </row>
    <row r="20" spans="2:5" x14ac:dyDescent="0.2">
      <c r="B20" s="2" t="s">
        <v>7</v>
      </c>
      <c r="C20" s="4">
        <f>1-_xlfn.NORM.S.DIST(C18,1)</f>
        <v>0.85992495706031258</v>
      </c>
    </row>
    <row r="23" spans="2:5" x14ac:dyDescent="0.2">
      <c r="B23" s="2" t="s">
        <v>0</v>
      </c>
      <c r="C23" s="2">
        <v>100</v>
      </c>
      <c r="E23" t="s">
        <v>9</v>
      </c>
    </row>
    <row r="24" spans="2:5" x14ac:dyDescent="0.2">
      <c r="B24" s="2" t="s">
        <v>1</v>
      </c>
      <c r="C24" s="2">
        <v>110</v>
      </c>
      <c r="E24" t="s">
        <v>10</v>
      </c>
    </row>
    <row r="25" spans="2:5" x14ac:dyDescent="0.2">
      <c r="B25" s="2" t="s">
        <v>2</v>
      </c>
      <c r="C25" s="3">
        <v>0.03</v>
      </c>
    </row>
    <row r="26" spans="2:5" x14ac:dyDescent="0.2">
      <c r="B26" s="2" t="s">
        <v>3</v>
      </c>
      <c r="C26" s="3">
        <v>0.2</v>
      </c>
    </row>
    <row r="27" spans="2:5" x14ac:dyDescent="0.2">
      <c r="B27" s="2" t="s">
        <v>4</v>
      </c>
      <c r="C27" s="2">
        <v>2</v>
      </c>
    </row>
    <row r="28" spans="2:5" x14ac:dyDescent="0.2">
      <c r="B28" s="2" t="s">
        <v>5</v>
      </c>
      <c r="C28" s="5">
        <f>(LN(C23/C24)+(C25+C26^2/2)*C27)/(C26*SQRT(C27))</f>
        <v>1.6581018314537461E-2</v>
      </c>
    </row>
    <row r="30" spans="2:5" x14ac:dyDescent="0.2">
      <c r="B30" s="2" t="s">
        <v>8</v>
      </c>
      <c r="C30" s="4">
        <f>1-_xlfn.NORM.S.DIST(C28,1)</f>
        <v>0.49338543383424072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A24B-B22D-F74F-B26B-2A8DEDAE34B7}">
  <dimension ref="G1:M29"/>
  <sheetViews>
    <sheetView zoomScale="130" zoomScaleNormal="130" workbookViewId="0">
      <selection activeCell="K17" sqref="K17"/>
    </sheetView>
  </sheetViews>
  <sheetFormatPr baseColWidth="10" defaultRowHeight="16" x14ac:dyDescent="0.2"/>
  <cols>
    <col min="7" max="7" width="27.6640625" bestFit="1" customWidth="1"/>
    <col min="8" max="8" width="15" bestFit="1" customWidth="1"/>
  </cols>
  <sheetData>
    <row r="1" spans="7:13" x14ac:dyDescent="0.2">
      <c r="J1" t="s">
        <v>31</v>
      </c>
      <c r="M1" t="s">
        <v>32</v>
      </c>
    </row>
    <row r="2" spans="7:13" x14ac:dyDescent="0.2">
      <c r="G2" t="s">
        <v>11</v>
      </c>
      <c r="H2" s="10">
        <v>500000</v>
      </c>
      <c r="J2" t="s">
        <v>22</v>
      </c>
      <c r="K2">
        <f>H2/H14</f>
        <v>0.1</v>
      </c>
      <c r="M2">
        <v>1.2</v>
      </c>
    </row>
    <row r="3" spans="7:13" x14ac:dyDescent="0.2">
      <c r="G3" t="s">
        <v>12</v>
      </c>
      <c r="H3" s="10">
        <v>1200000</v>
      </c>
      <c r="J3" t="s">
        <v>23</v>
      </c>
      <c r="K3">
        <f>H5/H14</f>
        <v>0.3</v>
      </c>
      <c r="M3">
        <v>1.4</v>
      </c>
    </row>
    <row r="4" spans="7:13" x14ac:dyDescent="0.2">
      <c r="G4" t="s">
        <v>13</v>
      </c>
      <c r="H4" s="10">
        <v>3800000</v>
      </c>
      <c r="J4" t="s">
        <v>24</v>
      </c>
      <c r="K4">
        <f>H15/H14</f>
        <v>0.16</v>
      </c>
      <c r="M4">
        <v>3.3</v>
      </c>
    </row>
    <row r="5" spans="7:13" x14ac:dyDescent="0.2">
      <c r="G5" t="s">
        <v>15</v>
      </c>
      <c r="H5" s="10">
        <v>1500000</v>
      </c>
      <c r="J5" t="s">
        <v>25</v>
      </c>
      <c r="K5" s="12">
        <f>H16/H17</f>
        <v>15.625</v>
      </c>
      <c r="M5">
        <v>0.6</v>
      </c>
    </row>
    <row r="6" spans="7:13" x14ac:dyDescent="0.2">
      <c r="G6" t="s">
        <v>14</v>
      </c>
      <c r="H6" s="10">
        <v>5000000</v>
      </c>
      <c r="J6" t="s">
        <v>26</v>
      </c>
      <c r="K6">
        <f>H6/H14</f>
        <v>1</v>
      </c>
      <c r="M6">
        <v>1</v>
      </c>
    </row>
    <row r="7" spans="7:13" x14ac:dyDescent="0.2">
      <c r="G7" t="s">
        <v>16</v>
      </c>
      <c r="H7" s="10">
        <v>3000000</v>
      </c>
    </row>
    <row r="8" spans="7:13" x14ac:dyDescent="0.2">
      <c r="G8" t="s">
        <v>17</v>
      </c>
      <c r="H8" s="10">
        <v>1200000</v>
      </c>
      <c r="J8" t="s">
        <v>33</v>
      </c>
      <c r="K8">
        <f>SUMPRODUCT(K2:K6,M2:M6)</f>
        <v>11.443</v>
      </c>
    </row>
    <row r="9" spans="7:13" x14ac:dyDescent="0.2">
      <c r="G9" t="s">
        <v>18</v>
      </c>
      <c r="H9" s="10">
        <v>50</v>
      </c>
    </row>
    <row r="10" spans="7:13" x14ac:dyDescent="0.2">
      <c r="G10" t="s">
        <v>19</v>
      </c>
      <c r="H10" s="10">
        <v>1000000</v>
      </c>
    </row>
    <row r="11" spans="7:13" x14ac:dyDescent="0.2">
      <c r="G11" t="s">
        <v>20</v>
      </c>
      <c r="H11" s="10">
        <v>700000</v>
      </c>
    </row>
    <row r="12" spans="7:13" x14ac:dyDescent="0.2">
      <c r="G12" t="s">
        <v>21</v>
      </c>
      <c r="H12" s="10">
        <v>2500000</v>
      </c>
    </row>
    <row r="14" spans="7:13" x14ac:dyDescent="0.2">
      <c r="G14" t="s">
        <v>27</v>
      </c>
      <c r="H14" s="11">
        <f>H3+H4</f>
        <v>5000000</v>
      </c>
    </row>
    <row r="15" spans="7:13" x14ac:dyDescent="0.2">
      <c r="G15" t="s">
        <v>28</v>
      </c>
      <c r="H15" s="11">
        <f>H6-H7-H8</f>
        <v>800000</v>
      </c>
    </row>
    <row r="16" spans="7:13" x14ac:dyDescent="0.2">
      <c r="G16" s="11" t="s">
        <v>29</v>
      </c>
      <c r="H16" s="10">
        <f>H9*H10</f>
        <v>50000000</v>
      </c>
    </row>
    <row r="17" spans="7:8" x14ac:dyDescent="0.2">
      <c r="G17" t="s">
        <v>30</v>
      </c>
      <c r="H17" s="11">
        <f>H11+H12</f>
        <v>3200000</v>
      </c>
    </row>
    <row r="19" spans="7:8" x14ac:dyDescent="0.2">
      <c r="H19" s="9"/>
    </row>
    <row r="20" spans="7:8" x14ac:dyDescent="0.2">
      <c r="H20" s="9"/>
    </row>
    <row r="21" spans="7:8" x14ac:dyDescent="0.2">
      <c r="H21" s="9"/>
    </row>
    <row r="22" spans="7:8" x14ac:dyDescent="0.2">
      <c r="H22" s="9"/>
    </row>
    <row r="23" spans="7:8" x14ac:dyDescent="0.2">
      <c r="H23" s="9"/>
    </row>
    <row r="24" spans="7:8" x14ac:dyDescent="0.2">
      <c r="H24" s="9"/>
    </row>
    <row r="25" spans="7:8" x14ac:dyDescent="0.2">
      <c r="H25" s="9"/>
    </row>
    <row r="27" spans="7:8" x14ac:dyDescent="0.2">
      <c r="H27" s="9"/>
    </row>
    <row r="28" spans="7:8" x14ac:dyDescent="0.2">
      <c r="H28" s="9"/>
    </row>
    <row r="29" spans="7:8" x14ac:dyDescent="0.2">
      <c r="H29" s="9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MARQUEZ BAÑUELOS, LUIS FERNANDO</dc:creator>
  <cp:lastModifiedBy>MARQUEZ BAÑUELOS, LUIS FERNANDO</cp:lastModifiedBy>
  <dcterms:created xsi:type="dcterms:W3CDTF">2026-02-19T03:16:54Z</dcterms:created>
  <dcterms:modified xsi:type="dcterms:W3CDTF">2026-03-05T03:13:16Z</dcterms:modified>
</cp:coreProperties>
</file>