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m/Desktop/8-ITESO/Módelos de Crédito/"/>
    </mc:Choice>
  </mc:AlternateContent>
  <xr:revisionPtr revIDLastSave="0" documentId="13_ncr:1_{F55F3FB9-F7C3-4D4D-A90A-E89FD8F997F9}" xr6:coauthVersionLast="47" xr6:coauthVersionMax="47" xr10:uidLastSave="{00000000-0000-0000-0000-000000000000}"/>
  <bookViews>
    <workbookView xWindow="0" yWindow="660" windowWidth="29400" windowHeight="18460" activeTab="1" xr2:uid="{CFF10287-D0A1-394C-9C06-B0B81C0D5705}"/>
  </bookViews>
  <sheets>
    <sheet name="Hoja2" sheetId="2" r:id="rId1"/>
    <sheet name="Hoja1" sheetId="1" r:id="rId2"/>
  </sheets>
  <calcPr calcId="18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" i="1" l="1"/>
  <c r="O19" i="1"/>
  <c r="L19" i="1"/>
  <c r="L24" i="1"/>
  <c r="L21" i="1"/>
  <c r="K24" i="1"/>
  <c r="K21" i="1"/>
  <c r="K19" i="1"/>
  <c r="H6" i="1"/>
  <c r="H12" i="1"/>
  <c r="H11" i="1"/>
  <c r="H10" i="1"/>
  <c r="H9" i="1"/>
  <c r="H8" i="1"/>
  <c r="H7" i="1"/>
  <c r="J24" i="1"/>
  <c r="J25" i="1"/>
  <c r="J21" i="1"/>
  <c r="J22" i="1"/>
  <c r="J23" i="1"/>
  <c r="J20" i="1"/>
  <c r="K12" i="1"/>
  <c r="M11" i="1"/>
  <c r="L11" i="1"/>
  <c r="N11" i="1" s="1"/>
  <c r="K11" i="1"/>
  <c r="M9" i="1"/>
  <c r="N10" i="1"/>
  <c r="N8" i="1"/>
  <c r="M8" i="1"/>
  <c r="L10" i="1"/>
  <c r="K10" i="1"/>
  <c r="L9" i="1"/>
  <c r="K9" i="1"/>
  <c r="L8" i="1"/>
  <c r="K8" i="1"/>
  <c r="M7" i="1"/>
  <c r="M6" i="1"/>
  <c r="L7" i="1"/>
  <c r="N7" i="1" s="1"/>
  <c r="K7" i="1"/>
  <c r="L6" i="1"/>
  <c r="N6" i="1" s="1"/>
  <c r="J19" i="1" s="1"/>
  <c r="K6" i="1"/>
  <c r="K3" i="1"/>
  <c r="L3" i="1" s="1"/>
  <c r="K2" i="1"/>
  <c r="L12" i="1" l="1"/>
  <c r="N12" i="1" s="1"/>
  <c r="M12" i="1"/>
  <c r="L2" i="1"/>
  <c r="J18" i="1" s="1"/>
</calcChain>
</file>

<file path=xl/sharedStrings.xml><?xml version="1.0" encoding="utf-8"?>
<sst xmlns="http://schemas.openxmlformats.org/spreadsheetml/2006/main" count="116" uniqueCount="43">
  <si>
    <t>Exam Result</t>
  </si>
  <si>
    <t>Working Status</t>
  </si>
  <si>
    <t>Pass</t>
  </si>
  <si>
    <t>Fail</t>
  </si>
  <si>
    <t>ID</t>
  </si>
  <si>
    <t>Other Online courses</t>
  </si>
  <si>
    <t>Student background</t>
  </si>
  <si>
    <t>Yes</t>
  </si>
  <si>
    <t>Maths</t>
  </si>
  <si>
    <t>NW</t>
  </si>
  <si>
    <t>No</t>
  </si>
  <si>
    <t>W</t>
  </si>
  <si>
    <t>CS</t>
  </si>
  <si>
    <t>Other</t>
  </si>
  <si>
    <t>p(Pass)</t>
  </si>
  <si>
    <t>Etiquetas de fila</t>
  </si>
  <si>
    <t>Total general</t>
  </si>
  <si>
    <t>Cuenta de Exam Result</t>
  </si>
  <si>
    <t>p(Fail)</t>
  </si>
  <si>
    <t>pi</t>
  </si>
  <si>
    <t>log2</t>
  </si>
  <si>
    <t>Parent</t>
  </si>
  <si>
    <t>Entropy Node</t>
  </si>
  <si>
    <t>Information Gain</t>
  </si>
  <si>
    <t>Etiquetas de columna</t>
  </si>
  <si>
    <t>p(W)</t>
  </si>
  <si>
    <t>p(NW)</t>
  </si>
  <si>
    <t>% of category</t>
  </si>
  <si>
    <t>p(Maths)</t>
  </si>
  <si>
    <t>p(CS)</t>
  </si>
  <si>
    <t>p(Other)</t>
  </si>
  <si>
    <t>Weighted Average entropy</t>
  </si>
  <si>
    <t>Working</t>
  </si>
  <si>
    <t>Not Working</t>
  </si>
  <si>
    <t>p(Yes)</t>
  </si>
  <si>
    <t>Math</t>
  </si>
  <si>
    <t>p(No)</t>
  </si>
  <si>
    <t>Online_yes</t>
  </si>
  <si>
    <t>Online_no</t>
  </si>
  <si>
    <t>Student Bkgnd</t>
  </si>
  <si>
    <t>Max gain</t>
  </si>
  <si>
    <t>Best Feature</t>
  </si>
  <si>
    <t>write the feature that corresponds to that max 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</si>
</sst>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8" fontId="0" fillId="0" borderId="0" xfId="0" applyNumberFormat="1"/>
    <xf numFmtId="2" fontId="0" fillId="0" borderId="0" xfId="0" applyNumberFormat="1" applyAlignment="1">
      <alignment horizontal="center"/>
    </xf>
    <xf numFmtId="0" fontId="0" fillId="0" borderId="1" xfId="0" applyBorder="1"/>
    <xf numFmtId="0" fontId="0" fillId="0" borderId="2" xfId="0" applyBorder="1"/>
    <xf numFmtId="2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2" fontId="0" fillId="0" borderId="5" xfId="0" applyNumberFormat="1" applyBorder="1"/>
    <xf numFmtId="0" fontId="0" fillId="0" borderId="6" xfId="0" applyBorder="1"/>
    <xf numFmtId="0" fontId="0" fillId="0" borderId="0" xfId="0" applyFill="1" applyBorder="1"/>
    <xf numFmtId="0" fontId="0" fillId="0" borderId="2" xfId="0" applyFill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5" xfId="0" applyFill="1" applyBorder="1"/>
    <xf numFmtId="2" fontId="0" fillId="0" borderId="5" xfId="0" applyNumberFormat="1" applyFill="1" applyBorder="1"/>
    <xf numFmtId="2" fontId="0" fillId="0" borderId="2" xfId="0" applyNumberFormat="1" applyFill="1" applyBorder="1"/>
    <xf numFmtId="0" fontId="0" fillId="0" borderId="3" xfId="0" applyFill="1" applyBorder="1"/>
    <xf numFmtId="168" fontId="0" fillId="0" borderId="5" xfId="0" applyNumberFormat="1" applyBorder="1"/>
    <xf numFmtId="2" fontId="0" fillId="0" borderId="1" xfId="0" applyNumberFormat="1" applyBorder="1"/>
    <xf numFmtId="2" fontId="0" fillId="0" borderId="7" xfId="0" applyNumberFormat="1" applyBorder="1"/>
    <xf numFmtId="2" fontId="0" fillId="0" borderId="4" xfId="0" applyNumberFormat="1" applyBorder="1"/>
    <xf numFmtId="168" fontId="0" fillId="0" borderId="2" xfId="0" applyNumberFormat="1" applyBorder="1"/>
    <xf numFmtId="168" fontId="0" fillId="0" borderId="2" xfId="0" applyNumberFormat="1" applyBorder="1" applyAlignment="1">
      <alignment horizontal="center"/>
    </xf>
    <xf numFmtId="168" fontId="0" fillId="0" borderId="3" xfId="0" applyNumberFormat="1" applyBorder="1" applyAlignment="1">
      <alignment horizontal="center"/>
    </xf>
    <xf numFmtId="168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68" fontId="0" fillId="0" borderId="0" xfId="0" applyNumberFormat="1" applyBorder="1"/>
    <xf numFmtId="168" fontId="0" fillId="0" borderId="0" xfId="0" applyNumberFormat="1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Márquez" refreshedDate="46104.84659108796" createdVersion="8" refreshedVersion="8" minRefreshableVersion="3" recordCount="15" xr:uid="{712E6ABF-8613-7C4B-9EE7-6CB75184C70D}">
  <cacheSource type="worksheet">
    <worksheetSource ref="B2:F17" sheet="Hoja1"/>
  </cacheSource>
  <cacheFields count="5">
    <cacheField name="ID" numFmtId="0">
      <sharedItems containsSemiMixedTypes="0" containsString="0" containsNumber="1" containsInteger="1" minValue="1" maxValue="15"/>
    </cacheField>
    <cacheField name="Exam Result" numFmtId="0">
      <sharedItems count="2">
        <s v="Pass"/>
        <s v="Fail"/>
      </sharedItems>
    </cacheField>
    <cacheField name="Other Online courses" numFmtId="0">
      <sharedItems/>
    </cacheField>
    <cacheField name="Student background" numFmtId="0">
      <sharedItems count="3">
        <s v="Maths"/>
        <s v="CS"/>
        <s v="Other"/>
      </sharedItems>
    </cacheField>
    <cacheField name="Working Status" numFmtId="0">
      <sharedItems count="2">
        <s v="NW"/>
        <s v="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"/>
    <x v="0"/>
    <s v="Yes"/>
    <x v="0"/>
    <x v="0"/>
  </r>
  <r>
    <n v="2"/>
    <x v="1"/>
    <s v="No"/>
    <x v="0"/>
    <x v="1"/>
  </r>
  <r>
    <n v="3"/>
    <x v="1"/>
    <s v="Yes"/>
    <x v="0"/>
    <x v="1"/>
  </r>
  <r>
    <n v="4"/>
    <x v="0"/>
    <s v="Yes"/>
    <x v="1"/>
    <x v="0"/>
  </r>
  <r>
    <n v="5"/>
    <x v="1"/>
    <s v="No"/>
    <x v="2"/>
    <x v="1"/>
  </r>
  <r>
    <n v="6"/>
    <x v="1"/>
    <s v="Yes"/>
    <x v="2"/>
    <x v="1"/>
  </r>
  <r>
    <n v="7"/>
    <x v="0"/>
    <s v="Yes"/>
    <x v="0"/>
    <x v="0"/>
  </r>
  <r>
    <n v="8"/>
    <x v="0"/>
    <s v="Yes"/>
    <x v="1"/>
    <x v="0"/>
  </r>
  <r>
    <n v="9"/>
    <x v="0"/>
    <s v="No"/>
    <x v="0"/>
    <x v="1"/>
  </r>
  <r>
    <n v="10"/>
    <x v="0"/>
    <s v="No"/>
    <x v="1"/>
    <x v="1"/>
  </r>
  <r>
    <n v="11"/>
    <x v="0"/>
    <s v="Yes"/>
    <x v="1"/>
    <x v="1"/>
  </r>
  <r>
    <n v="12"/>
    <x v="0"/>
    <s v="No"/>
    <x v="0"/>
    <x v="0"/>
  </r>
  <r>
    <n v="13"/>
    <x v="1"/>
    <s v="Yes"/>
    <x v="2"/>
    <x v="1"/>
  </r>
  <r>
    <n v="14"/>
    <x v="1"/>
    <s v="No"/>
    <x v="2"/>
    <x v="0"/>
  </r>
  <r>
    <n v="15"/>
    <x v="1"/>
    <s v="No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E3B00A-F07D-9941-86A5-0AB3706A978A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8" firstHeaderRow="1" firstDataRow="2" firstDataCol="1"/>
  <pivotFields count="5">
    <pivotField showAll="0"/>
    <pivotField axis="axisCol" dataField="1" showAll="0">
      <items count="3">
        <item x="1"/>
        <item x="0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>
      <items count="3">
        <item x="0"/>
        <item x="1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uenta de Exam Result" fld="1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F5D67A-B3B6-2848-BB44-05CCE5DDD83C}" name="Tabla1" displayName="Tabla1" ref="B2:F17" totalsRowShown="0" headerRowDxfId="0" dataDxfId="1">
  <autoFilter ref="B2:F17" xr:uid="{7FF5D67A-B3B6-2848-BB44-05CCE5DDD83C}"/>
  <tableColumns count="5">
    <tableColumn id="1" xr3:uid="{659B7C79-FAAA-F04A-9C2C-2168C26FC6D7}" name="ID" dataDxfId="6"/>
    <tableColumn id="2" xr3:uid="{143EBB78-9749-D441-A527-F77E9290094F}" name="Exam Result" dataDxfId="5"/>
    <tableColumn id="3" xr3:uid="{8DBF3EEF-31A3-A94C-A29F-2488B0C6A557}" name="Other Online courses" dataDxfId="4"/>
    <tableColumn id="4" xr3:uid="{CA6A5AD0-176D-684E-823F-AF0BC26563E7}" name="Student background" dataDxfId="3"/>
    <tableColumn id="5" xr3:uid="{530239DB-0458-504F-BEBA-13873937E760}" name="Working 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3091837-4E51-3146-8C7B-8F4F0EC1F9B8}">
  <we:reference id="wa200009404" version="1.0.0.8" store="es-MX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A8234-DA70-0545-A33C-238B0438E005}">
  <dimension ref="A3:D8"/>
  <sheetViews>
    <sheetView workbookViewId="0">
      <selection activeCell="L19" sqref="L19"/>
    </sheetView>
  </sheetViews>
  <sheetFormatPr baseColWidth="10" defaultRowHeight="16" x14ac:dyDescent="0.2"/>
  <cols>
    <col min="1" max="1" width="20.1640625" bestFit="1" customWidth="1"/>
    <col min="2" max="2" width="21.5" bestFit="1" customWidth="1"/>
    <col min="3" max="3" width="8.1640625" bestFit="1" customWidth="1"/>
    <col min="4" max="4" width="11.6640625" bestFit="1" customWidth="1"/>
  </cols>
  <sheetData>
    <row r="3" spans="1:4" x14ac:dyDescent="0.2">
      <c r="A3" s="2" t="s">
        <v>17</v>
      </c>
      <c r="B3" s="2" t="s">
        <v>24</v>
      </c>
    </row>
    <row r="4" spans="1:4" x14ac:dyDescent="0.2">
      <c r="A4" s="2" t="s">
        <v>15</v>
      </c>
      <c r="B4" t="s">
        <v>3</v>
      </c>
      <c r="C4" t="s">
        <v>2</v>
      </c>
      <c r="D4" t="s">
        <v>16</v>
      </c>
    </row>
    <row r="5" spans="1:4" x14ac:dyDescent="0.2">
      <c r="A5" s="3" t="s">
        <v>12</v>
      </c>
      <c r="B5" s="4">
        <v>0</v>
      </c>
      <c r="C5" s="4">
        <v>1</v>
      </c>
      <c r="D5" s="4">
        <v>1</v>
      </c>
    </row>
    <row r="6" spans="1:4" x14ac:dyDescent="0.2">
      <c r="A6" s="3" t="s">
        <v>8</v>
      </c>
      <c r="B6" s="4">
        <v>0.42857142857142855</v>
      </c>
      <c r="C6" s="4">
        <v>0.5714285714285714</v>
      </c>
      <c r="D6" s="4">
        <v>1</v>
      </c>
    </row>
    <row r="7" spans="1:4" x14ac:dyDescent="0.2">
      <c r="A7" s="3" t="s">
        <v>13</v>
      </c>
      <c r="B7" s="4">
        <v>1</v>
      </c>
      <c r="C7" s="4">
        <v>0</v>
      </c>
      <c r="D7" s="4">
        <v>1</v>
      </c>
    </row>
    <row r="8" spans="1:4" x14ac:dyDescent="0.2">
      <c r="A8" s="3" t="s">
        <v>16</v>
      </c>
      <c r="B8" s="4">
        <v>0.46666666666666667</v>
      </c>
      <c r="C8" s="4">
        <v>0.53333333333333333</v>
      </c>
      <c r="D8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5B69A-83CE-CC4D-80F6-D316D79BA145}">
  <dimension ref="B1:O25"/>
  <sheetViews>
    <sheetView tabSelected="1" topLeftCell="F1" zoomScale="130" zoomScaleNormal="130" workbookViewId="0">
      <selection activeCell="O23" sqref="O23"/>
    </sheetView>
  </sheetViews>
  <sheetFormatPr baseColWidth="10" defaultRowHeight="16" x14ac:dyDescent="0.2"/>
  <cols>
    <col min="3" max="3" width="13" customWidth="1"/>
    <col min="4" max="4" width="20.33203125" customWidth="1"/>
    <col min="5" max="5" width="19.33203125" customWidth="1"/>
    <col min="6" max="6" width="15.33203125" customWidth="1"/>
    <col min="8" max="8" width="13.1640625" bestFit="1" customWidth="1"/>
    <col min="10" max="10" width="12.1640625" bestFit="1" customWidth="1"/>
    <col min="11" max="11" width="22.6640625" bestFit="1" customWidth="1"/>
    <col min="12" max="12" width="14.83203125" bestFit="1" customWidth="1"/>
    <col min="14" max="14" width="12.83203125" bestFit="1" customWidth="1"/>
    <col min="15" max="15" width="12.6640625" bestFit="1" customWidth="1"/>
  </cols>
  <sheetData>
    <row r="1" spans="2:14" x14ac:dyDescent="0.2">
      <c r="K1" s="1" t="s">
        <v>19</v>
      </c>
      <c r="L1" s="1" t="s">
        <v>20</v>
      </c>
    </row>
    <row r="2" spans="2:14" x14ac:dyDescent="0.2">
      <c r="B2" s="1" t="s">
        <v>4</v>
      </c>
      <c r="C2" s="1" t="s">
        <v>0</v>
      </c>
      <c r="D2" s="1" t="s">
        <v>5</v>
      </c>
      <c r="E2" s="1" t="s">
        <v>6</v>
      </c>
      <c r="F2" s="1" t="s">
        <v>1</v>
      </c>
      <c r="H2">
        <v>1</v>
      </c>
      <c r="I2" s="1" t="s">
        <v>14</v>
      </c>
      <c r="J2" s="1" t="s">
        <v>2</v>
      </c>
      <c r="K2" s="6">
        <f>GETPIVOTDATA("Exam Result",Hoja2!$A$3,"Exam Result","Pass")</f>
        <v>0.53333333333333333</v>
      </c>
      <c r="L2">
        <f>LOG(K2,2)</f>
        <v>-0.9068905956085187</v>
      </c>
    </row>
    <row r="3" spans="2:14" x14ac:dyDescent="0.2">
      <c r="B3" s="1">
        <v>1</v>
      </c>
      <c r="C3" s="1" t="s">
        <v>2</v>
      </c>
      <c r="D3" s="1" t="s">
        <v>7</v>
      </c>
      <c r="E3" s="1" t="s">
        <v>8</v>
      </c>
      <c r="F3" s="1" t="s">
        <v>9</v>
      </c>
      <c r="H3">
        <v>2</v>
      </c>
      <c r="I3" s="1" t="s">
        <v>18</v>
      </c>
      <c r="J3" s="1" t="s">
        <v>3</v>
      </c>
      <c r="K3" s="6">
        <f>GETPIVOTDATA("Exam Result",Hoja2!$A$3,"Exam Result","Fail")</f>
        <v>0.46666666666666667</v>
      </c>
      <c r="L3">
        <f>LOG(K3,2)</f>
        <v>-1.0995356735509143</v>
      </c>
    </row>
    <row r="4" spans="2:14" x14ac:dyDescent="0.2">
      <c r="B4" s="1">
        <v>2</v>
      </c>
      <c r="C4" s="1" t="s">
        <v>3</v>
      </c>
      <c r="D4" s="1" t="s">
        <v>10</v>
      </c>
      <c r="E4" s="1" t="s">
        <v>8</v>
      </c>
      <c r="F4" s="1" t="s">
        <v>11</v>
      </c>
    </row>
    <row r="5" spans="2:14" x14ac:dyDescent="0.2">
      <c r="B5" s="1">
        <v>3</v>
      </c>
      <c r="C5" s="1" t="s">
        <v>3</v>
      </c>
      <c r="D5" s="1" t="s">
        <v>7</v>
      </c>
      <c r="E5" s="1" t="s">
        <v>8</v>
      </c>
      <c r="F5" s="1" t="s">
        <v>11</v>
      </c>
      <c r="H5" t="s">
        <v>27</v>
      </c>
      <c r="K5" t="s">
        <v>2</v>
      </c>
      <c r="L5" t="s">
        <v>3</v>
      </c>
      <c r="M5" t="s">
        <v>20</v>
      </c>
      <c r="N5" t="s">
        <v>20</v>
      </c>
    </row>
    <row r="6" spans="2:14" x14ac:dyDescent="0.2">
      <c r="B6" s="1">
        <v>4</v>
      </c>
      <c r="C6" s="1" t="s">
        <v>2</v>
      </c>
      <c r="D6" s="1" t="s">
        <v>7</v>
      </c>
      <c r="E6" s="1" t="s">
        <v>12</v>
      </c>
      <c r="F6" s="1" t="s">
        <v>9</v>
      </c>
      <c r="H6" s="7">
        <f>COUNTIF($F$3:$F$17,J6)/COUNTA($F$3:$F$17)</f>
        <v>0.6</v>
      </c>
      <c r="I6" s="8" t="s">
        <v>25</v>
      </c>
      <c r="J6" s="8" t="s">
        <v>11</v>
      </c>
      <c r="K6" s="9">
        <f>3/9</f>
        <v>0.33333333333333331</v>
      </c>
      <c r="L6" s="9">
        <f>1-K6</f>
        <v>0.66666666666666674</v>
      </c>
      <c r="M6" s="8">
        <f>LOG(K6,2)</f>
        <v>-1.5849625007211563</v>
      </c>
      <c r="N6" s="10">
        <f>LOG(L6,2)</f>
        <v>-0.58496250072115608</v>
      </c>
    </row>
    <row r="7" spans="2:14" x14ac:dyDescent="0.2">
      <c r="B7" s="1">
        <v>5</v>
      </c>
      <c r="C7" s="1" t="s">
        <v>3</v>
      </c>
      <c r="D7" s="1" t="s">
        <v>10</v>
      </c>
      <c r="E7" s="1" t="s">
        <v>13</v>
      </c>
      <c r="F7" s="1" t="s">
        <v>11</v>
      </c>
      <c r="H7" s="11">
        <f>COUNTIF($F$3:$F$17,J7)/COUNTA($F$3:$F$17)</f>
        <v>0.4</v>
      </c>
      <c r="I7" s="12" t="s">
        <v>26</v>
      </c>
      <c r="J7" s="12" t="s">
        <v>9</v>
      </c>
      <c r="K7" s="13">
        <f>5/6</f>
        <v>0.83333333333333337</v>
      </c>
      <c r="L7" s="13">
        <f>1-K7</f>
        <v>0.16666666666666663</v>
      </c>
      <c r="M7" s="12">
        <f>LOG(K7,2)</f>
        <v>-0.26303440583379378</v>
      </c>
      <c r="N7" s="14">
        <f>LOG(L7,2)</f>
        <v>-2.5849625007211565</v>
      </c>
    </row>
    <row r="8" spans="2:14" x14ac:dyDescent="0.2">
      <c r="B8" s="1">
        <v>6</v>
      </c>
      <c r="C8" s="1" t="s">
        <v>3</v>
      </c>
      <c r="D8" s="1" t="s">
        <v>7</v>
      </c>
      <c r="E8" s="1" t="s">
        <v>13</v>
      </c>
      <c r="F8" s="1" t="s">
        <v>11</v>
      </c>
      <c r="H8" s="25">
        <f>COUNTIF($E$3:$E$17,J8)/COUNTA($E$3:$E$17)</f>
        <v>0.46666666666666667</v>
      </c>
      <c r="I8" s="16" t="s">
        <v>28</v>
      </c>
      <c r="J8" s="16" t="s">
        <v>8</v>
      </c>
      <c r="K8" s="9">
        <f>4/7</f>
        <v>0.5714285714285714</v>
      </c>
      <c r="L8" s="9">
        <f>1-K8</f>
        <v>0.4285714285714286</v>
      </c>
      <c r="M8" s="8">
        <f>LOG(K8,2)</f>
        <v>-0.80735492205760429</v>
      </c>
      <c r="N8" s="10">
        <f>LOG(L8,2)</f>
        <v>-1.2223924213364479</v>
      </c>
    </row>
    <row r="9" spans="2:14" x14ac:dyDescent="0.2">
      <c r="B9" s="1">
        <v>7</v>
      </c>
      <c r="C9" s="1" t="s">
        <v>2</v>
      </c>
      <c r="D9" s="1" t="s">
        <v>7</v>
      </c>
      <c r="E9" s="1" t="s">
        <v>8</v>
      </c>
      <c r="F9" s="1" t="s">
        <v>9</v>
      </c>
      <c r="H9" s="26">
        <f>COUNTIF($E$3:$E$17,J9)/COUNTA($E$3:$E$17)</f>
        <v>0.26666666666666666</v>
      </c>
      <c r="I9" s="15" t="s">
        <v>29</v>
      </c>
      <c r="J9" s="15" t="s">
        <v>12</v>
      </c>
      <c r="K9" s="18">
        <f>4/4</f>
        <v>1</v>
      </c>
      <c r="L9" s="18">
        <f>1-K9</f>
        <v>0</v>
      </c>
      <c r="M9" s="18">
        <f t="shared" ref="M9:M10" si="0">LOG(K9,2)</f>
        <v>0</v>
      </c>
      <c r="N9" s="19">
        <v>0</v>
      </c>
    </row>
    <row r="10" spans="2:14" x14ac:dyDescent="0.2">
      <c r="B10" s="1">
        <v>8</v>
      </c>
      <c r="C10" s="1" t="s">
        <v>2</v>
      </c>
      <c r="D10" s="1" t="s">
        <v>7</v>
      </c>
      <c r="E10" s="1" t="s">
        <v>12</v>
      </c>
      <c r="F10" s="1" t="s">
        <v>9</v>
      </c>
      <c r="H10" s="27">
        <f>COUNTIF($E$3:$E$17,J10)/COUNTA($E$3:$E$17)</f>
        <v>0.26666666666666666</v>
      </c>
      <c r="I10" s="20" t="s">
        <v>30</v>
      </c>
      <c r="J10" s="20" t="s">
        <v>13</v>
      </c>
      <c r="K10" s="12">
        <f>0/1</f>
        <v>0</v>
      </c>
      <c r="L10" s="21">
        <f>1-K10</f>
        <v>1</v>
      </c>
      <c r="M10" s="12">
        <v>0</v>
      </c>
      <c r="N10" s="14">
        <f t="shared" ref="N9:N11" si="1">LOG(L10,2)</f>
        <v>0</v>
      </c>
    </row>
    <row r="11" spans="2:14" x14ac:dyDescent="0.2">
      <c r="B11" s="1">
        <v>9</v>
      </c>
      <c r="C11" s="1" t="s">
        <v>2</v>
      </c>
      <c r="D11" s="1" t="s">
        <v>10</v>
      </c>
      <c r="E11" s="1" t="s">
        <v>8</v>
      </c>
      <c r="F11" s="1" t="s">
        <v>11</v>
      </c>
      <c r="H11" s="25">
        <f>COUNTIF($D$3:$D$17,J11)/COUNTA($D$3:$D$17)</f>
        <v>0.53333333333333333</v>
      </c>
      <c r="I11" s="16" t="s">
        <v>34</v>
      </c>
      <c r="J11" s="16" t="s">
        <v>7</v>
      </c>
      <c r="K11" s="9">
        <f>COUNTIFS($C$3:$C$17,"Pass",$D$3:$D$17,"Yes")/COUNTIF($D$3:$D$17,"Yes")</f>
        <v>0.625</v>
      </c>
      <c r="L11" s="22">
        <f>1-K11</f>
        <v>0.375</v>
      </c>
      <c r="M11" s="16">
        <f>LOG(K11,2)</f>
        <v>-0.67807190511263771</v>
      </c>
      <c r="N11" s="23">
        <f t="shared" si="1"/>
        <v>-1.4150374992788437</v>
      </c>
    </row>
    <row r="12" spans="2:14" x14ac:dyDescent="0.2">
      <c r="B12" s="1">
        <v>10</v>
      </c>
      <c r="C12" s="1" t="s">
        <v>2</v>
      </c>
      <c r="D12" s="1" t="s">
        <v>10</v>
      </c>
      <c r="E12" s="1" t="s">
        <v>12</v>
      </c>
      <c r="F12" s="1" t="s">
        <v>11</v>
      </c>
      <c r="H12" s="27">
        <f>COUNTIF($D$3:$D$17,J12)/COUNTA($D$3:$D$17)</f>
        <v>0.46666666666666667</v>
      </c>
      <c r="I12" s="20" t="s">
        <v>36</v>
      </c>
      <c r="J12" s="20" t="s">
        <v>10</v>
      </c>
      <c r="K12" s="13">
        <f>COUNTIFS($C$3:$C$17,"Pass",$D$3:$D$17,"No")/COUNTIF($D$3:$D$17,"No")</f>
        <v>0.42857142857142855</v>
      </c>
      <c r="L12" s="13">
        <f>1-K12</f>
        <v>0.5714285714285714</v>
      </c>
      <c r="M12" s="12">
        <f>LOG(K12,2)</f>
        <v>-1.2223924213364481</v>
      </c>
      <c r="N12" s="14">
        <f>LOG(L12,2)</f>
        <v>-0.80735492205760429</v>
      </c>
    </row>
    <row r="13" spans="2:14" x14ac:dyDescent="0.2">
      <c r="B13" s="1">
        <v>11</v>
      </c>
      <c r="C13" s="1" t="s">
        <v>2</v>
      </c>
      <c r="D13" s="1" t="s">
        <v>7</v>
      </c>
      <c r="E13" s="1" t="s">
        <v>12</v>
      </c>
      <c r="F13" s="1" t="s">
        <v>11</v>
      </c>
    </row>
    <row r="14" spans="2:14" x14ac:dyDescent="0.2">
      <c r="B14" s="1">
        <v>12</v>
      </c>
      <c r="C14" s="1" t="s">
        <v>2</v>
      </c>
      <c r="D14" s="1" t="s">
        <v>10</v>
      </c>
      <c r="E14" s="1" t="s">
        <v>8</v>
      </c>
      <c r="F14" s="1" t="s">
        <v>9</v>
      </c>
    </row>
    <row r="15" spans="2:14" x14ac:dyDescent="0.2">
      <c r="B15" s="1">
        <v>13</v>
      </c>
      <c r="C15" s="1" t="s">
        <v>3</v>
      </c>
      <c r="D15" s="1" t="s">
        <v>7</v>
      </c>
      <c r="E15" s="1" t="s">
        <v>13</v>
      </c>
      <c r="F15" s="1" t="s">
        <v>11</v>
      </c>
    </row>
    <row r="16" spans="2:14" x14ac:dyDescent="0.2">
      <c r="B16" s="1">
        <v>14</v>
      </c>
      <c r="C16" s="1" t="s">
        <v>3</v>
      </c>
      <c r="D16" s="1" t="s">
        <v>10</v>
      </c>
      <c r="E16" s="1" t="s">
        <v>13</v>
      </c>
      <c r="F16" s="1" t="s">
        <v>9</v>
      </c>
    </row>
    <row r="17" spans="2:15" x14ac:dyDescent="0.2">
      <c r="B17" s="1">
        <v>15</v>
      </c>
      <c r="C17" s="1" t="s">
        <v>3</v>
      </c>
      <c r="D17" s="1" t="s">
        <v>10</v>
      </c>
      <c r="E17" s="1" t="s">
        <v>8</v>
      </c>
      <c r="F17" s="1" t="s">
        <v>11</v>
      </c>
      <c r="J17" t="s">
        <v>22</v>
      </c>
      <c r="K17" t="s">
        <v>31</v>
      </c>
      <c r="L17" t="s">
        <v>23</v>
      </c>
    </row>
    <row r="18" spans="2:15" x14ac:dyDescent="0.2">
      <c r="I18" s="1" t="s">
        <v>21</v>
      </c>
      <c r="J18" s="5">
        <f>-SUMPRODUCT(K2:K3,L2:L3)</f>
        <v>0.99679163198163656</v>
      </c>
    </row>
    <row r="19" spans="2:15" x14ac:dyDescent="0.2">
      <c r="H19" t="s">
        <v>1</v>
      </c>
      <c r="I19" s="7" t="s">
        <v>32</v>
      </c>
      <c r="J19" s="28">
        <f>-SUMPRODUCT(K6:L6,M6:N6)</f>
        <v>0.91829583405448956</v>
      </c>
      <c r="K19" s="29">
        <f>SUMPRODUCT(H6:H7,J19:J20)</f>
        <v>0.81098646909203531</v>
      </c>
      <c r="L19" s="30">
        <f>J18-K19</f>
        <v>0.18580516288960125</v>
      </c>
      <c r="N19" s="5" t="s">
        <v>40</v>
      </c>
      <c r="O19" s="5">
        <f>MAX(L19:L25)</f>
        <v>0.53701850183231914</v>
      </c>
    </row>
    <row r="20" spans="2:15" x14ac:dyDescent="0.2">
      <c r="I20" s="11" t="s">
        <v>33</v>
      </c>
      <c r="J20" s="24">
        <f>-SUMPRODUCT(K7:L7,M7:N7)</f>
        <v>0.65002242164835411</v>
      </c>
      <c r="K20" s="31"/>
      <c r="L20" s="32"/>
      <c r="N20" t="s">
        <v>41</v>
      </c>
      <c r="O20" t="str">
        <f>INDEX(H19:H24,MATCH(O19,L19:L24,0))</f>
        <v>Student Bkgnd</v>
      </c>
    </row>
    <row r="21" spans="2:15" x14ac:dyDescent="0.2">
      <c r="H21" t="s">
        <v>39</v>
      </c>
      <c r="I21" s="7" t="s">
        <v>35</v>
      </c>
      <c r="J21" s="28">
        <f t="shared" ref="J21:J25" si="2">-SUMPRODUCT(K8:L8,M8:N8)</f>
        <v>0.98522813603425163</v>
      </c>
      <c r="K21" s="29">
        <f>SUMPRODUCT(J21:J23,H8:H10)</f>
        <v>0.45977313014931742</v>
      </c>
      <c r="L21" s="30">
        <f>$J$18-K21</f>
        <v>0.53701850183231914</v>
      </c>
    </row>
    <row r="22" spans="2:15" x14ac:dyDescent="0.2">
      <c r="I22" s="17" t="s">
        <v>12</v>
      </c>
      <c r="J22" s="33">
        <f t="shared" si="2"/>
        <v>0</v>
      </c>
      <c r="K22" s="34"/>
      <c r="L22" s="35"/>
    </row>
    <row r="23" spans="2:15" x14ac:dyDescent="0.2">
      <c r="I23" s="11" t="s">
        <v>13</v>
      </c>
      <c r="J23" s="24">
        <f t="shared" si="2"/>
        <v>0</v>
      </c>
      <c r="K23" s="31"/>
      <c r="L23" s="32"/>
    </row>
    <row r="24" spans="2:15" x14ac:dyDescent="0.2">
      <c r="H24" t="s">
        <v>42</v>
      </c>
      <c r="I24" s="7" t="s">
        <v>37</v>
      </c>
      <c r="J24" s="28">
        <f t="shared" si="2"/>
        <v>0.95443400292496494</v>
      </c>
      <c r="K24" s="29">
        <f>SUMPRODUCT(J24:J25,H11:H12)</f>
        <v>0.96880459837596533</v>
      </c>
      <c r="L24" s="30">
        <f>J18-K24</f>
        <v>2.798703360567123E-2</v>
      </c>
    </row>
    <row r="25" spans="2:15" x14ac:dyDescent="0.2">
      <c r="I25" s="11" t="s">
        <v>38</v>
      </c>
      <c r="J25" s="24">
        <f t="shared" si="2"/>
        <v>0.98522813603425163</v>
      </c>
      <c r="K25" s="31"/>
      <c r="L25" s="32"/>
    </row>
  </sheetData>
  <mergeCells count="6">
    <mergeCell ref="K19:K20"/>
    <mergeCell ref="L19:L20"/>
    <mergeCell ref="K21:K23"/>
    <mergeCell ref="L21:L23"/>
    <mergeCell ref="K24:K25"/>
    <mergeCell ref="L24:L25"/>
  </mergeCells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MARQUEZ BAÑUELOS, LUIS FERNANDO</dc:creator>
  <cp:lastModifiedBy>MARQUEZ BAÑUELOS, LUIS FERNANDO</cp:lastModifiedBy>
  <dcterms:created xsi:type="dcterms:W3CDTF">2026-03-24T02:07:00Z</dcterms:created>
  <dcterms:modified xsi:type="dcterms:W3CDTF">2026-03-24T03:10:37Z</dcterms:modified>
</cp:coreProperties>
</file>