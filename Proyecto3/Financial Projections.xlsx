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m/Desktop/8-ITESO/Módelos de Crédito/Proyecto3/"/>
    </mc:Choice>
  </mc:AlternateContent>
  <xr:revisionPtr revIDLastSave="0" documentId="13_ncr:1_{5863C809-4708-8747-909F-196F6167FE8F}" xr6:coauthVersionLast="47" xr6:coauthVersionMax="47" xr10:uidLastSave="{00000000-0000-0000-0000-000000000000}"/>
  <bookViews>
    <workbookView xWindow="0" yWindow="660" windowWidth="29400" windowHeight="18460" xr2:uid="{964031EC-6636-B143-99BB-F8C802C83B4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  <c r="C6" i="1"/>
  <c r="E25" i="1" s="1"/>
  <c r="E26" i="1" s="1"/>
  <c r="J16" i="1"/>
  <c r="J15" i="1"/>
  <c r="J11" i="1"/>
  <c r="K5" i="1"/>
  <c r="K4" i="1"/>
  <c r="D25" i="1" l="1"/>
  <c r="F25" i="1"/>
  <c r="F26" i="1" s="1"/>
  <c r="G25" i="1"/>
  <c r="G26" i="1" s="1"/>
  <c r="J17" i="1"/>
  <c r="D26" i="1"/>
  <c r="C8" i="1"/>
  <c r="E28" i="1" s="1"/>
  <c r="D28" i="1" l="1"/>
  <c r="E30" i="1"/>
  <c r="E33" i="1" s="1"/>
  <c r="F28" i="1"/>
  <c r="G28" i="1"/>
  <c r="G29" i="1" s="1"/>
  <c r="H25" i="1"/>
  <c r="F30" i="1"/>
  <c r="F33" i="1" s="1"/>
  <c r="G30" i="1"/>
  <c r="F29" i="1"/>
  <c r="D29" i="1"/>
  <c r="E29" i="1"/>
  <c r="H30" i="1" l="1"/>
  <c r="I25" i="1"/>
  <c r="H26" i="1"/>
  <c r="H28" i="1"/>
  <c r="D34" i="1"/>
  <c r="D38" i="1" s="1"/>
  <c r="H33" i="1"/>
  <c r="E34" i="1"/>
  <c r="E38" i="1" s="1"/>
  <c r="I30" i="1" l="1"/>
  <c r="H29" i="1"/>
  <c r="J25" i="1"/>
  <c r="I26" i="1"/>
  <c r="I28" i="1"/>
  <c r="H34" i="1"/>
  <c r="H38" i="1" s="1"/>
  <c r="G33" i="1"/>
  <c r="G34" i="1" s="1"/>
  <c r="G38" i="1" s="1"/>
  <c r="I33" i="1"/>
  <c r="F34" i="1"/>
  <c r="F38" i="1" s="1"/>
  <c r="K25" i="1" l="1"/>
  <c r="I29" i="1"/>
  <c r="I34" i="1" s="1"/>
  <c r="I38" i="1" s="1"/>
  <c r="J26" i="1"/>
  <c r="J28" i="1"/>
  <c r="K30" i="1" s="1"/>
  <c r="K33" i="1" s="1"/>
  <c r="J30" i="1"/>
  <c r="J33" i="1" s="1"/>
  <c r="J29" i="1" l="1"/>
  <c r="J34" i="1" s="1"/>
  <c r="J38" i="1" s="1"/>
  <c r="K26" i="1"/>
  <c r="K28" i="1"/>
  <c r="L30" i="1" s="1"/>
  <c r="L33" i="1" s="1"/>
  <c r="L25" i="1"/>
  <c r="L26" i="1" l="1"/>
  <c r="L28" i="1"/>
  <c r="M30" i="1"/>
  <c r="M33" i="1" s="1"/>
  <c r="K29" i="1"/>
  <c r="K34" i="1" s="1"/>
  <c r="K38" i="1" s="1"/>
  <c r="M25" i="1"/>
  <c r="M26" i="1" l="1"/>
  <c r="M28" i="1"/>
  <c r="O25" i="1"/>
  <c r="N25" i="1"/>
  <c r="N30" i="1"/>
  <c r="N33" i="1" s="1"/>
  <c r="L29" i="1"/>
  <c r="L34" i="1" s="1"/>
  <c r="L38" i="1" s="1"/>
  <c r="N28" i="1" l="1"/>
  <c r="N26" i="1"/>
  <c r="O28" i="1"/>
  <c r="O26" i="1"/>
  <c r="O30" i="1"/>
  <c r="O33" i="1" s="1"/>
  <c r="M29" i="1"/>
  <c r="M34" i="1" s="1"/>
  <c r="M38" i="1" s="1"/>
  <c r="Q30" i="1" l="1"/>
  <c r="Q33" i="1" s="1"/>
  <c r="Q34" i="1" s="1"/>
  <c r="Q38" i="1" s="1"/>
  <c r="O29" i="1"/>
  <c r="O34" i="1" s="1"/>
  <c r="O38" i="1" s="1"/>
  <c r="P30" i="1"/>
  <c r="P33" i="1" s="1"/>
  <c r="P34" i="1" s="1"/>
  <c r="P38" i="1" s="1"/>
  <c r="N29" i="1"/>
  <c r="N34" i="1" s="1"/>
  <c r="N38" i="1" s="1"/>
  <c r="D40" i="1" l="1"/>
</calcChain>
</file>

<file path=xl/sharedStrings.xml><?xml version="1.0" encoding="utf-8"?>
<sst xmlns="http://schemas.openxmlformats.org/spreadsheetml/2006/main" count="61" uniqueCount="53">
  <si>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</si>
  <si>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</si>
  <si>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</si>
  <si>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</si>
  <si>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</si>
  <si>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</si>
  <si>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</si>
  <si>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</si>
  <si>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</si>
  <si>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</si>
  <si>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</si>
  <si>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</si>
  <si>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Pymes</t>
  </si>
  <si>
    <t>Inventarios</t>
  </si>
  <si>
    <t>Consulta Modelo</t>
  </si>
  <si>
    <t>Piden Fin</t>
  </si>
  <si>
    <t>Han Tenido</t>
  </si>
  <si>
    <t>No piden</t>
  </si>
  <si>
    <t>Micro</t>
  </si>
  <si>
    <t>Pequeñas</t>
  </si>
  <si>
    <t>Medianas</t>
  </si>
  <si>
    <t>% de Morosidad</t>
  </si>
  <si>
    <t>No. De Consultas</t>
  </si>
  <si>
    <t>% de Aprobados</t>
  </si>
  <si>
    <t>Pérdidas x Morosidad</t>
  </si>
  <si>
    <t>Pymes $$</t>
  </si>
  <si>
    <t>VA Censal B</t>
  </si>
  <si>
    <t>Total Empr</t>
  </si>
  <si>
    <t>Pymes (C)</t>
  </si>
  <si>
    <t>Considerado scaar crédito NTM</t>
  </si>
  <si>
    <t>Inv x Pyme</t>
  </si>
  <si>
    <t>Market Share</t>
  </si>
  <si>
    <t>Ingresos x Consultas</t>
  </si>
  <si>
    <t>Creditaria</t>
  </si>
  <si>
    <t>Tasa de Descuento</t>
  </si>
  <si>
    <t>SAT WS</t>
  </si>
  <si>
    <t>EBIT</t>
  </si>
  <si>
    <t>Utilidad</t>
  </si>
  <si>
    <t>NPV</t>
  </si>
  <si>
    <t>TIR</t>
  </si>
  <si>
    <t>Tasa Libre de Riesgo</t>
  </si>
  <si>
    <t>Pago de Financiamiento</t>
  </si>
  <si>
    <t>Valor a Financiar</t>
  </si>
  <si>
    <t>Monto Descontado</t>
  </si>
  <si>
    <t>Cuanto levantar</t>
  </si>
  <si>
    <t>Cuanto pagar a accionistas</t>
  </si>
  <si>
    <t>IST y CF alto nivel</t>
  </si>
  <si>
    <t>Investigar variables y justificar modelo</t>
  </si>
  <si>
    <t>Investigar SAT WS</t>
  </si>
  <si>
    <t>*CrowdFunding</t>
  </si>
  <si>
    <t>Costo de dinero Dividendos/Bonos</t>
  </si>
  <si>
    <t>Competidores</t>
  </si>
  <si>
    <t>Garantías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</si>
</sst>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5" formatCode="0.000%"/>
    <numFmt numFmtId="166" formatCode="#,##0;\(#,##0\);\-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FF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2"/>
      <color rgb="FF000000"/>
      <name val="Aptos Narrow"/>
      <scheme val="minor"/>
    </font>
    <font>
      <sz val="12"/>
      <color rgb="FF0000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3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right"/>
    </xf>
    <xf numFmtId="10" fontId="0" fillId="0" borderId="0" xfId="0" applyNumberFormat="1"/>
    <xf numFmtId="10" fontId="4" fillId="0" borderId="0" xfId="0" applyNumberFormat="1" applyFont="1"/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10" fontId="4" fillId="0" borderId="0" xfId="1" applyNumberFormat="1" applyFont="1" applyAlignment="1">
      <alignment horizontal="right"/>
    </xf>
    <xf numFmtId="9" fontId="4" fillId="0" borderId="0" xfId="0" applyNumberFormat="1" applyFont="1" applyAlignment="1">
      <alignment horizontal="center"/>
    </xf>
    <xf numFmtId="10" fontId="0" fillId="0" borderId="0" xfId="1" applyNumberFormat="1" applyFont="1"/>
    <xf numFmtId="10" fontId="4" fillId="0" borderId="0" xfId="1" applyNumberFormat="1" applyFont="1"/>
    <xf numFmtId="165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3" fontId="7" fillId="0" borderId="0" xfId="0" applyNumberFormat="1" applyFont="1" applyAlignment="1">
      <alignment horizontal="right"/>
    </xf>
    <xf numFmtId="8" fontId="6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81487F-B263-F749-A942-7B0E3CF06E6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eda10f2-09ff-4a80-8240-71a29c6a8e1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9A89-E7FD-8644-B3D9-570A97E3DC93}">
  <dimension ref="B2:Q51"/>
  <sheetViews>
    <sheetView showGridLines="0" tabSelected="1" zoomScale="130" zoomScaleNormal="130" workbookViewId="0">
      <selection activeCell="F10" sqref="F10"/>
    </sheetView>
  </sheetViews>
  <sheetFormatPr baseColWidth="10" defaultRowHeight="16" x14ac:dyDescent="0.2"/>
  <cols>
    <col min="2" max="3" width="11" customWidth="1"/>
    <col min="4" max="4" width="14.33203125" bestFit="1" customWidth="1"/>
    <col min="5" max="5" width="10.5" customWidth="1"/>
    <col min="10" max="10" width="10.6640625" customWidth="1"/>
  </cols>
  <sheetData>
    <row r="2" spans="2:13" x14ac:dyDescent="0.2">
      <c r="I2" t="s">
        <v>29</v>
      </c>
    </row>
    <row r="3" spans="2:13" x14ac:dyDescent="0.2">
      <c r="C3">
        <v>2023</v>
      </c>
      <c r="G3">
        <v>2024</v>
      </c>
      <c r="I3">
        <v>2024</v>
      </c>
    </row>
    <row r="4" spans="2:13" x14ac:dyDescent="0.2">
      <c r="B4" t="s">
        <v>27</v>
      </c>
      <c r="C4" s="5">
        <v>5468180</v>
      </c>
      <c r="D4" s="5"/>
      <c r="F4" t="s">
        <v>15</v>
      </c>
      <c r="G4" s="5">
        <v>140118</v>
      </c>
      <c r="I4" t="s">
        <v>19</v>
      </c>
      <c r="J4" s="7">
        <v>0.34100000000000003</v>
      </c>
      <c r="K4" s="9">
        <f>J4*$L$4</f>
        <v>19908.603000000003</v>
      </c>
      <c r="L4" s="5">
        <v>58383</v>
      </c>
    </row>
    <row r="5" spans="2:13" x14ac:dyDescent="0.2">
      <c r="B5" t="s">
        <v>12</v>
      </c>
      <c r="C5" s="7">
        <v>4.4999999999999998E-2</v>
      </c>
      <c r="D5" s="5"/>
      <c r="F5" t="s">
        <v>17</v>
      </c>
      <c r="G5" s="5">
        <v>140118</v>
      </c>
      <c r="I5" t="s">
        <v>20</v>
      </c>
      <c r="J5" s="7">
        <v>9.0999999999999998E-2</v>
      </c>
      <c r="K5" s="9">
        <f>J5*$L$4</f>
        <v>5312.8530000000001</v>
      </c>
    </row>
    <row r="6" spans="2:13" x14ac:dyDescent="0.2">
      <c r="B6" t="s">
        <v>28</v>
      </c>
      <c r="C6" s="9">
        <f>C4*C5</f>
        <v>246068.09999999998</v>
      </c>
      <c r="D6" s="5"/>
      <c r="F6" t="s">
        <v>16</v>
      </c>
      <c r="G6" s="5">
        <v>128568</v>
      </c>
    </row>
    <row r="7" spans="2:13" x14ac:dyDescent="0.2">
      <c r="B7" t="s">
        <v>13</v>
      </c>
      <c r="C7" s="9">
        <f>193227941000+1125196000</f>
        <v>194353137000</v>
      </c>
      <c r="D7" s="10"/>
      <c r="I7">
        <v>2023</v>
      </c>
    </row>
    <row r="8" spans="2:13" x14ac:dyDescent="0.2">
      <c r="B8" t="s">
        <v>30</v>
      </c>
      <c r="C8" s="9">
        <f>C7/C6</f>
        <v>789834.75306226208</v>
      </c>
      <c r="D8" s="9"/>
      <c r="F8" t="s">
        <v>33</v>
      </c>
      <c r="G8" s="13">
        <v>0.4</v>
      </c>
      <c r="I8" t="s">
        <v>26</v>
      </c>
      <c r="J8" s="5">
        <v>15667990000000</v>
      </c>
      <c r="L8" t="s">
        <v>18</v>
      </c>
      <c r="M8" s="6">
        <v>0.54300000000000004</v>
      </c>
    </row>
    <row r="9" spans="2:13" x14ac:dyDescent="0.2">
      <c r="B9" s="3"/>
      <c r="D9" s="10"/>
      <c r="G9" s="12"/>
      <c r="J9" s="5"/>
      <c r="M9" s="6"/>
    </row>
    <row r="10" spans="2:13" x14ac:dyDescent="0.2">
      <c r="B10" t="s">
        <v>14</v>
      </c>
      <c r="D10" s="5">
        <v>500</v>
      </c>
      <c r="I10" t="s">
        <v>12</v>
      </c>
      <c r="J10" s="10">
        <v>0.29699999999999999</v>
      </c>
    </row>
    <row r="11" spans="2:13" x14ac:dyDescent="0.2">
      <c r="B11" t="s">
        <v>21</v>
      </c>
      <c r="D11" s="10">
        <v>5.2999999999999999E-2</v>
      </c>
      <c r="I11" t="s">
        <v>25</v>
      </c>
      <c r="J11" s="5">
        <f>J8*J10</f>
        <v>4653393030000</v>
      </c>
    </row>
    <row r="12" spans="2:13" x14ac:dyDescent="0.2">
      <c r="B12" t="s">
        <v>34</v>
      </c>
      <c r="D12" s="10">
        <v>0.2</v>
      </c>
    </row>
    <row r="13" spans="2:13" x14ac:dyDescent="0.2">
      <c r="B13" t="s">
        <v>40</v>
      </c>
      <c r="D13" s="10">
        <v>6.7500000000000004E-2</v>
      </c>
      <c r="I13" t="s">
        <v>27</v>
      </c>
      <c r="J13" s="18">
        <v>5468180</v>
      </c>
    </row>
    <row r="14" spans="2:13" x14ac:dyDescent="0.2">
      <c r="I14" t="s">
        <v>12</v>
      </c>
      <c r="J14" s="7">
        <v>4.4999999999999998E-2</v>
      </c>
    </row>
    <row r="15" spans="2:13" x14ac:dyDescent="0.2">
      <c r="B15" t="s">
        <v>50</v>
      </c>
      <c r="I15" t="s">
        <v>28</v>
      </c>
      <c r="J15" s="9">
        <f>J13*J14</f>
        <v>246068.09999999998</v>
      </c>
    </row>
    <row r="16" spans="2:13" x14ac:dyDescent="0.2">
      <c r="I16" t="s">
        <v>13</v>
      </c>
      <c r="J16" s="9">
        <f>193227941000+1125196000</f>
        <v>194353137000</v>
      </c>
    </row>
    <row r="17" spans="2:17" x14ac:dyDescent="0.2">
      <c r="I17" t="s">
        <v>30</v>
      </c>
      <c r="J17" s="9">
        <f>J16/J15</f>
        <v>789834.75306226208</v>
      </c>
    </row>
    <row r="18" spans="2:17" x14ac:dyDescent="0.2">
      <c r="J18" s="9"/>
    </row>
    <row r="21" spans="2:17" x14ac:dyDescent="0.2">
      <c r="B21" t="s">
        <v>31</v>
      </c>
      <c r="D21" s="14">
        <v>1E-4</v>
      </c>
      <c r="E21" s="14">
        <v>1E-4</v>
      </c>
      <c r="F21" s="14">
        <v>1E-4</v>
      </c>
      <c r="G21" s="14">
        <v>1.4999999999999999E-4</v>
      </c>
      <c r="H21" s="14">
        <v>1E-4</v>
      </c>
      <c r="I21" s="14">
        <v>1E-4</v>
      </c>
      <c r="J21" s="14">
        <v>1E-4</v>
      </c>
      <c r="K21" s="14">
        <v>1E-4</v>
      </c>
      <c r="L21" s="14">
        <v>1E-4</v>
      </c>
      <c r="M21" s="14">
        <v>1E-4</v>
      </c>
      <c r="N21" s="14">
        <v>1E-4</v>
      </c>
      <c r="O21" s="14">
        <v>1E-4</v>
      </c>
    </row>
    <row r="23" spans="2:17" x14ac:dyDescent="0.2">
      <c r="D23" s="2">
        <v>2026</v>
      </c>
      <c r="E23" s="1"/>
      <c r="F23" s="1"/>
      <c r="G23" s="1"/>
      <c r="H23" s="1"/>
      <c r="I23" s="1"/>
      <c r="J23" s="1"/>
      <c r="K23" s="1"/>
      <c r="L23" s="2">
        <v>2027</v>
      </c>
      <c r="M23" s="1"/>
      <c r="N23" s="1"/>
      <c r="O23" s="1"/>
      <c r="P23" s="1"/>
      <c r="Q23" s="1"/>
    </row>
    <row r="24" spans="2:17" x14ac:dyDescent="0.2">
      <c r="D24" s="3" t="s">
        <v>0</v>
      </c>
      <c r="E24" s="3" t="s">
        <v>1</v>
      </c>
      <c r="F24" s="3" t="s">
        <v>2</v>
      </c>
      <c r="G24" s="3" t="s">
        <v>3</v>
      </c>
      <c r="H24" s="3" t="s">
        <v>4</v>
      </c>
      <c r="I24" s="3" t="s">
        <v>5</v>
      </c>
      <c r="J24" s="3" t="s">
        <v>6</v>
      </c>
      <c r="K24" s="3" t="s">
        <v>7</v>
      </c>
      <c r="L24" s="3" t="s">
        <v>8</v>
      </c>
      <c r="M24" s="3" t="s">
        <v>9</v>
      </c>
      <c r="N24" s="3" t="s">
        <v>10</v>
      </c>
      <c r="O24" s="3" t="s">
        <v>11</v>
      </c>
      <c r="P24" s="3" t="s">
        <v>0</v>
      </c>
      <c r="Q24" s="3" t="s">
        <v>1</v>
      </c>
    </row>
    <row r="25" spans="2:17" x14ac:dyDescent="0.2">
      <c r="B25" t="s">
        <v>22</v>
      </c>
      <c r="D25" s="8">
        <f>ROUND($C$6*D21,0)</f>
        <v>25</v>
      </c>
      <c r="E25" s="8">
        <f t="shared" ref="E25:O25" si="0">ROUND($C$6*E21,0)</f>
        <v>25</v>
      </c>
      <c r="F25" s="8">
        <f t="shared" si="0"/>
        <v>25</v>
      </c>
      <c r="G25" s="8">
        <f t="shared" si="0"/>
        <v>37</v>
      </c>
      <c r="H25" s="8">
        <f t="shared" si="0"/>
        <v>25</v>
      </c>
      <c r="I25" s="8">
        <f t="shared" si="0"/>
        <v>25</v>
      </c>
      <c r="J25" s="8">
        <f t="shared" si="0"/>
        <v>25</v>
      </c>
      <c r="K25" s="8">
        <f t="shared" si="0"/>
        <v>25</v>
      </c>
      <c r="L25" s="8">
        <f t="shared" si="0"/>
        <v>25</v>
      </c>
      <c r="M25" s="8">
        <f t="shared" si="0"/>
        <v>25</v>
      </c>
      <c r="N25" s="8">
        <f t="shared" si="0"/>
        <v>25</v>
      </c>
      <c r="O25" s="8">
        <f t="shared" si="0"/>
        <v>25</v>
      </c>
    </row>
    <row r="26" spans="2:17" x14ac:dyDescent="0.2">
      <c r="B26" t="s">
        <v>32</v>
      </c>
      <c r="D26" s="8">
        <f>D25*$D$10</f>
        <v>12500</v>
      </c>
      <c r="E26" s="8">
        <f t="shared" ref="E26:O26" si="1">E25*$D$10</f>
        <v>12500</v>
      </c>
      <c r="F26" s="8">
        <f t="shared" si="1"/>
        <v>12500</v>
      </c>
      <c r="G26" s="8">
        <f t="shared" si="1"/>
        <v>18500</v>
      </c>
      <c r="H26" s="8">
        <f t="shared" si="1"/>
        <v>12500</v>
      </c>
      <c r="I26" s="8">
        <f t="shared" si="1"/>
        <v>12500</v>
      </c>
      <c r="J26" s="8">
        <f t="shared" si="1"/>
        <v>12500</v>
      </c>
      <c r="K26" s="8">
        <f t="shared" si="1"/>
        <v>12500</v>
      </c>
      <c r="L26" s="8">
        <f t="shared" si="1"/>
        <v>12500</v>
      </c>
      <c r="M26" s="8">
        <f t="shared" si="1"/>
        <v>12500</v>
      </c>
      <c r="N26" s="8">
        <f t="shared" si="1"/>
        <v>12500</v>
      </c>
      <c r="O26" s="8">
        <f t="shared" si="1"/>
        <v>12500</v>
      </c>
    </row>
    <row r="27" spans="2:17" x14ac:dyDescent="0.2">
      <c r="B27" t="s">
        <v>23</v>
      </c>
      <c r="D27" s="11">
        <v>0.4</v>
      </c>
      <c r="E27" s="11">
        <v>0.4</v>
      </c>
      <c r="F27" s="11">
        <v>0.4</v>
      </c>
      <c r="G27" s="11">
        <v>0.4</v>
      </c>
      <c r="H27" s="11">
        <v>0.4</v>
      </c>
      <c r="I27" s="11">
        <v>0.4</v>
      </c>
      <c r="J27" s="11">
        <v>0.4</v>
      </c>
      <c r="K27" s="11">
        <v>0.4</v>
      </c>
      <c r="L27" s="11">
        <v>0.4</v>
      </c>
      <c r="M27" s="11">
        <v>0.4</v>
      </c>
      <c r="N27" s="11">
        <v>0.4</v>
      </c>
      <c r="O27" s="11">
        <v>0.4</v>
      </c>
    </row>
    <row r="28" spans="2:17" x14ac:dyDescent="0.2">
      <c r="B28" t="s">
        <v>42</v>
      </c>
      <c r="D28" s="8">
        <f>D25*D27*$C$8</f>
        <v>7898347.5306226211</v>
      </c>
      <c r="E28" s="8">
        <f t="shared" ref="E28:N28" si="2">E25*E27*$C$8</f>
        <v>7898347.5306226211</v>
      </c>
      <c r="F28" s="8">
        <f t="shared" si="2"/>
        <v>7898347.5306226211</v>
      </c>
      <c r="G28" s="8">
        <f t="shared" si="2"/>
        <v>11689554.34532148</v>
      </c>
      <c r="H28" s="8">
        <f t="shared" si="2"/>
        <v>7898347.5306226211</v>
      </c>
      <c r="I28" s="8">
        <f t="shared" si="2"/>
        <v>7898347.5306226211</v>
      </c>
      <c r="J28" s="8">
        <f t="shared" si="2"/>
        <v>7898347.5306226211</v>
      </c>
      <c r="K28" s="8">
        <f t="shared" si="2"/>
        <v>7898347.5306226211</v>
      </c>
      <c r="L28" s="8">
        <f t="shared" si="2"/>
        <v>7898347.5306226211</v>
      </c>
      <c r="M28" s="8">
        <f t="shared" si="2"/>
        <v>7898347.5306226211</v>
      </c>
      <c r="N28" s="8">
        <f t="shared" si="2"/>
        <v>7898347.5306226211</v>
      </c>
      <c r="O28" s="8">
        <f>O25*O27*$C$8</f>
        <v>7898347.5306226211</v>
      </c>
    </row>
    <row r="29" spans="2:17" x14ac:dyDescent="0.2">
      <c r="B29" t="s">
        <v>43</v>
      </c>
      <c r="D29" s="8">
        <f>D28*(1-$D$12)</f>
        <v>6318678.0244980976</v>
      </c>
      <c r="E29" s="8">
        <f>E28*(1-$D$12)</f>
        <v>6318678.0244980976</v>
      </c>
      <c r="F29" s="8">
        <f>F28*(1-$D$12)</f>
        <v>6318678.0244980976</v>
      </c>
      <c r="G29" s="8">
        <f>G28*(1-$D$12)</f>
        <v>9351643.4762571845</v>
      </c>
      <c r="H29" s="8">
        <f>H28*(1-$D$12)</f>
        <v>6318678.0244980976</v>
      </c>
      <c r="I29" s="8">
        <f>I28*(1-$D$12)</f>
        <v>6318678.0244980976</v>
      </c>
      <c r="J29" s="8">
        <f>J28*(1-$D$12)</f>
        <v>6318678.0244980976</v>
      </c>
      <c r="K29" s="8">
        <f>K28*(1-$D$12)</f>
        <v>6318678.0244980976</v>
      </c>
      <c r="L29" s="8">
        <f>L28*(1-$D$12)</f>
        <v>6318678.0244980976</v>
      </c>
      <c r="M29" s="8">
        <f>M28*(1-$D$12)</f>
        <v>6318678.0244980976</v>
      </c>
      <c r="N29" s="8">
        <f>N28*(1-$D$12)</f>
        <v>6318678.0244980976</v>
      </c>
      <c r="O29" s="8">
        <f>O28*(1-$D$12)</f>
        <v>6318678.0244980976</v>
      </c>
    </row>
    <row r="30" spans="2:17" x14ac:dyDescent="0.2">
      <c r="B30" t="s">
        <v>41</v>
      </c>
      <c r="D30" s="3">
        <v>0</v>
      </c>
      <c r="E30" s="8">
        <f>D28*0.5</f>
        <v>3949173.7653113105</v>
      </c>
      <c r="F30" s="8">
        <f>D28*0.5+E28*0.5</f>
        <v>7898347.5306226211</v>
      </c>
      <c r="G30" s="8">
        <f>E28*0.5+F28*0.5</f>
        <v>7898347.5306226211</v>
      </c>
      <c r="H30" s="8">
        <f>F28*0.5+G28*0.5</f>
        <v>9793950.9379720502</v>
      </c>
      <c r="I30" s="8">
        <f>G28*0.5+H28*0.5</f>
        <v>9793950.9379720502</v>
      </c>
      <c r="J30" s="8">
        <f>H28*0.5+I28*0.5</f>
        <v>7898347.5306226211</v>
      </c>
      <c r="K30" s="8">
        <f>I28*0.5+J28*0.5</f>
        <v>7898347.5306226211</v>
      </c>
      <c r="L30" s="8">
        <f>J28*0.5+K28*0.5</f>
        <v>7898347.5306226211</v>
      </c>
      <c r="M30" s="8">
        <f>K28*0.5+L28*0.5</f>
        <v>7898347.5306226211</v>
      </c>
      <c r="N30" s="8">
        <f>L28*0.5+M28*0.5</f>
        <v>7898347.5306226211</v>
      </c>
      <c r="O30" s="8">
        <f>M28*0.5+N28*0.5</f>
        <v>7898347.5306226211</v>
      </c>
      <c r="P30" s="8">
        <f>N28*0.5+O28*0.5</f>
        <v>7898347.5306226211</v>
      </c>
      <c r="Q30" s="8">
        <f>O28*0.5+P28*0.5</f>
        <v>3949173.7653113105</v>
      </c>
    </row>
    <row r="31" spans="2:17" x14ac:dyDescent="0.2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spans="2:17" x14ac:dyDescent="0.2">
      <c r="B33" t="s">
        <v>24</v>
      </c>
      <c r="D33" s="15">
        <v>0</v>
      </c>
      <c r="E33" s="15">
        <f>-E30*$D$11</f>
        <v>-209306.20956149945</v>
      </c>
      <c r="F33" s="15">
        <f>-F30*$D$11</f>
        <v>-418612.41912299889</v>
      </c>
      <c r="G33" s="15">
        <f t="shared" ref="G33:Q33" si="3">-G30*$D$11</f>
        <v>-418612.41912299889</v>
      </c>
      <c r="H33" s="15">
        <f t="shared" si="3"/>
        <v>-519079.39971251867</v>
      </c>
      <c r="I33" s="15">
        <f t="shared" si="3"/>
        <v>-519079.39971251867</v>
      </c>
      <c r="J33" s="15">
        <f t="shared" si="3"/>
        <v>-418612.41912299889</v>
      </c>
      <c r="K33" s="15">
        <f t="shared" si="3"/>
        <v>-418612.41912299889</v>
      </c>
      <c r="L33" s="15">
        <f>-L30*$D$11</f>
        <v>-418612.41912299889</v>
      </c>
      <c r="M33" s="15">
        <f t="shared" si="3"/>
        <v>-418612.41912299889</v>
      </c>
      <c r="N33" s="15">
        <f t="shared" si="3"/>
        <v>-418612.41912299889</v>
      </c>
      <c r="O33" s="15">
        <f t="shared" si="3"/>
        <v>-418612.41912299889</v>
      </c>
      <c r="P33" s="15">
        <f t="shared" si="3"/>
        <v>-418612.41912299889</v>
      </c>
      <c r="Q33" s="15">
        <f t="shared" si="3"/>
        <v>-209306.20956149945</v>
      </c>
    </row>
    <row r="34" spans="2:17" x14ac:dyDescent="0.2">
      <c r="B34" t="s">
        <v>36</v>
      </c>
      <c r="D34" s="15">
        <f>D26+D30+D33-D29</f>
        <v>-6306178.0244980976</v>
      </c>
      <c r="E34" s="15">
        <f t="shared" ref="E34:Q34" si="4">E26+E30+E33-E29</f>
        <v>-2566310.4687482864</v>
      </c>
      <c r="F34" s="15">
        <f t="shared" si="4"/>
        <v>1173557.0870015249</v>
      </c>
      <c r="G34" s="15">
        <f>G26+G30+G33-G29</f>
        <v>-1853408.3647575621</v>
      </c>
      <c r="H34" s="15">
        <f>H26+H30+H33-H29</f>
        <v>2968693.5137614347</v>
      </c>
      <c r="I34" s="15">
        <f t="shared" si="4"/>
        <v>2968693.5137614347</v>
      </c>
      <c r="J34" s="15">
        <f t="shared" si="4"/>
        <v>1173557.0870015249</v>
      </c>
      <c r="K34" s="15">
        <f t="shared" si="4"/>
        <v>1173557.0870015249</v>
      </c>
      <c r="L34" s="15">
        <f t="shared" si="4"/>
        <v>1173557.0870015249</v>
      </c>
      <c r="M34" s="15">
        <f t="shared" si="4"/>
        <v>1173557.0870015249</v>
      </c>
      <c r="N34" s="15">
        <f t="shared" si="4"/>
        <v>1173557.0870015249</v>
      </c>
      <c r="O34" s="15">
        <f t="shared" si="4"/>
        <v>1173557.0870015249</v>
      </c>
      <c r="P34" s="15">
        <f t="shared" si="4"/>
        <v>7479735.1114996225</v>
      </c>
      <c r="Q34" s="15">
        <f t="shared" si="4"/>
        <v>3739867.5557498112</v>
      </c>
    </row>
    <row r="36" spans="2:17" x14ac:dyDescent="0.2">
      <c r="B36" t="s">
        <v>35</v>
      </c>
      <c r="D36" s="4">
        <v>12000</v>
      </c>
      <c r="E36" s="4">
        <v>12000</v>
      </c>
      <c r="F36" s="4">
        <v>12000</v>
      </c>
      <c r="G36" s="4">
        <v>12000</v>
      </c>
      <c r="H36" s="4">
        <v>12000</v>
      </c>
      <c r="I36" s="4">
        <v>12000</v>
      </c>
      <c r="J36" s="4">
        <v>12000</v>
      </c>
      <c r="K36" s="4">
        <v>12000</v>
      </c>
      <c r="L36" s="4">
        <v>12000</v>
      </c>
      <c r="M36" s="4">
        <v>12000</v>
      </c>
      <c r="N36" s="4">
        <v>12000</v>
      </c>
      <c r="O36" s="4">
        <v>12000</v>
      </c>
    </row>
    <row r="38" spans="2:17" x14ac:dyDescent="0.2">
      <c r="B38" t="s">
        <v>37</v>
      </c>
      <c r="D38" s="15">
        <f>D34-D36</f>
        <v>-6318178.0244980976</v>
      </c>
      <c r="E38" s="15">
        <f t="shared" ref="E38:Q38" si="5">E34-E36</f>
        <v>-2578310.4687482864</v>
      </c>
      <c r="F38" s="15">
        <f t="shared" si="5"/>
        <v>1161557.0870015249</v>
      </c>
      <c r="G38" s="15">
        <f>G34-G36</f>
        <v>-1865408.3647575621</v>
      </c>
      <c r="H38" s="15">
        <f t="shared" si="5"/>
        <v>2956693.5137614347</v>
      </c>
      <c r="I38" s="15">
        <f t="shared" si="5"/>
        <v>2956693.5137614347</v>
      </c>
      <c r="J38" s="15">
        <f t="shared" si="5"/>
        <v>1161557.0870015249</v>
      </c>
      <c r="K38" s="15">
        <f t="shared" si="5"/>
        <v>1161557.0870015249</v>
      </c>
      <c r="L38" s="15">
        <f t="shared" si="5"/>
        <v>1161557.0870015249</v>
      </c>
      <c r="M38" s="15">
        <f t="shared" si="5"/>
        <v>1161557.0870015249</v>
      </c>
      <c r="N38" s="15">
        <f t="shared" si="5"/>
        <v>1161557.0870015249</v>
      </c>
      <c r="O38" s="15">
        <f t="shared" si="5"/>
        <v>1161557.0870015249</v>
      </c>
      <c r="P38" s="15">
        <f t="shared" si="5"/>
        <v>7479735.1114996225</v>
      </c>
      <c r="Q38" s="15">
        <f t="shared" si="5"/>
        <v>3739867.5557498112</v>
      </c>
    </row>
    <row r="39" spans="2:17" x14ac:dyDescent="0.2"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2:17" x14ac:dyDescent="0.2">
      <c r="B40" t="s">
        <v>38</v>
      </c>
      <c r="D40" s="17">
        <f>NPV((1+D13)^(1/12)-1,D38:Q38)</f>
        <v>13274826.425369633</v>
      </c>
    </row>
    <row r="41" spans="2:17" x14ac:dyDescent="0.2">
      <c r="B41" t="s">
        <v>39</v>
      </c>
      <c r="D41" s="16"/>
    </row>
    <row r="43" spans="2:17" x14ac:dyDescent="0.2">
      <c r="D43" s="17"/>
    </row>
    <row r="44" spans="2:17" x14ac:dyDescent="0.2">
      <c r="B44" t="s">
        <v>44</v>
      </c>
    </row>
    <row r="45" spans="2:17" x14ac:dyDescent="0.2">
      <c r="B45" t="s">
        <v>45</v>
      </c>
    </row>
    <row r="46" spans="2:17" x14ac:dyDescent="0.2">
      <c r="B46" t="s">
        <v>46</v>
      </c>
    </row>
    <row r="47" spans="2:17" x14ac:dyDescent="0.2">
      <c r="B47" t="s">
        <v>47</v>
      </c>
    </row>
    <row r="48" spans="2:17" x14ac:dyDescent="0.2">
      <c r="B48" t="s">
        <v>48</v>
      </c>
    </row>
    <row r="49" spans="2:2" x14ac:dyDescent="0.2">
      <c r="B49" t="s">
        <v>51</v>
      </c>
    </row>
    <row r="50" spans="2:2" x14ac:dyDescent="0.2">
      <c r="B50" t="s">
        <v>52</v>
      </c>
    </row>
    <row r="51" spans="2:2" x14ac:dyDescent="0.2">
      <c r="B51" t="s">
        <v>49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MARQUEZ BAÑUELOS, LUIS FERNANDO</dc:creator>
  <cp:lastModifiedBy>MARQUEZ BAÑUELOS, LUIS FERNANDO</cp:lastModifiedBy>
  <dcterms:created xsi:type="dcterms:W3CDTF">2026-05-04T22:10:46Z</dcterms:created>
  <dcterms:modified xsi:type="dcterms:W3CDTF">2026-05-05T03:19:15Z</dcterms:modified>
</cp:coreProperties>
</file>